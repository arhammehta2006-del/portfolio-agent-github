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Methodology Overview" sheetId="1" state="visible" r:id="rId3"/>
    <sheet name="2. Assumptions" sheetId="2" state="visible" r:id="rId4"/>
    <sheet name="3. Core Calculations" sheetId="3" state="visible" r:id="rId5"/>
    <sheet name="4. Risk Metrics" sheetId="4" state="visible" r:id="rId6"/>
    <sheet name="5. Risk Profiling" sheetId="5" state="visible" r:id="rId7"/>
    <sheet name="6. Portfolio Construction" sheetId="6" state="visible" r:id="rId8"/>
    <sheet name="7. Worked Example"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<sst xmlns="http://schemas.openxmlformats.org/spreadsheetml/2006/main" count="807" uniqueCount="595">
  <si>
    <t xml:space="preserve">Goal-Based Portfolio Planner — Methodology Overview</t>
  </si>
  <si>
    <t xml:space="preserve">Index of every computed component in the application. Generated 2026-10-04 from the live source code (config.py / risk.py / allocation.py / app.py) of the submitted prototype. Legend: yellow = key stated assumption, pale-green = verified engine output, pale-red = not implemented by the app (flagged per the brief).</t>
  </si>
  <si>
    <t xml:space="preserve">Component</t>
  </si>
  <si>
    <t xml:space="preserve">What is being calculated</t>
  </si>
  <si>
    <t xml:space="preserve">Inputs used</t>
  </si>
  <si>
    <t xml:space="preserve">Method / Formula</t>
  </si>
  <si>
    <t xml:space="preserve">Output produced</t>
  </si>
  <si>
    <t xml:space="preserve">How it affects the recommendation</t>
  </si>
  <si>
    <t xml:space="preserve">Risk appetite (willingness)</t>
  </si>
  <si>
    <t xml:space="preserve">How much risk the investor says and shows they are comfortable with.</t>
  </si>
  <si>
    <t xml:space="preserve">Stated risk label (Low/Moderate/High); 3 scenario-quiz answers (score 2/6/10 each).</t>
  </si>
  <si>
    <t xml:space="preserve">willingness = 0.4 × stated_score + 0.6 × mean(quiz scores)   [risk.py: risk_profile()]</t>
  </si>
  <si>
    <t xml:space="preserve">Score 1–10 ('willingness')</t>
  </si>
  <si>
    <t xml:space="preserve">One of the two numbers the final risk score is the LOWER of.</t>
  </si>
  <si>
    <t xml:space="preserve">Risk capacity</t>
  </si>
  <si>
    <t xml:space="preserve">How much risk the investor's situation can actually afford, independent of how they feel.</t>
  </si>
  <si>
    <t xml:space="preserve">Age, dependents, money-weighted goal horizon, emergency-fund coverage %, employment type, high-EMI flag.</t>
  </si>
  <si>
    <t xml:space="preserve">capacity = mean(age_pts, dependents_pts, horizon_pts, emergency_pts, employment_pts); employment_pts −2 if EMI &gt; 40% of income.   [risk.py: risk_profile()]</t>
  </si>
  <si>
    <t xml:space="preserve">Score 1–10 ('capacity')</t>
  </si>
  <si>
    <t xml:space="preserve">The other number the final risk score is the LOWER of — this is what stops an over-confident but over-committed investor from getting a portfolio they can't actually sustain.</t>
  </si>
  <si>
    <t xml:space="preserve">Required risk</t>
  </si>
  <si>
    <t xml:space="preserve">What annual return the investor's stated amount/goals would actually need to hit their targets.</t>
  </si>
  <si>
    <t xml:space="preserve">Investable amount, sum of all goal targets, money-weighted horizon.</t>
  </si>
  <si>
    <t xml:space="preserve">Binary-search solve for r such that the funding formula reaches the combined target at the weighted horizon; labelled Low/Moderate/Moderate-High/High by comparing r to the Conservative/Moderate/Aggressive planning returns at that horizon.   [allocation.py: build_plan() step 6, required_return()]</t>
  </si>
  <si>
    <t xml:space="preserve">A return % + a label</t>
  </si>
  <si>
    <t xml:space="preserve">Informational only — shown as a note if it exceeds the recommended profile (e.g. "consider a larger amount / later date"). It never overrides the appetite/capacity-based recommendation.</t>
  </si>
  <si>
    <t xml:space="preserve">Overall risk classification</t>
  </si>
  <si>
    <t xml:space="preserve">Converts the two scores above into the one label used everywhere else.</t>
  </si>
  <si>
    <t xml:space="preserve">willingness, capacity.</t>
  </si>
  <si>
    <t xml:space="preserve">score = min(willingness, capacity); label: score &lt; 4.0 → Conservative, score ≥ 7.0 → Aggressive, else Moderate.   [risk.py: risk_profile(), config.CONSERVATIVE_BELOW / AGGRESSIVE_FROM]</t>
  </si>
  <si>
    <t xml:space="preserve">Conservative / Moderate / Aggressive + numeric score</t>
  </si>
  <si>
    <t xml:space="preserve">Selects which row of the allocation table (Sheet 6) is used for every goal, unless the user opens the "what-if" view and overrides it manually.</t>
  </si>
  <si>
    <t xml:space="preserve">Expected portfolio return</t>
  </si>
  <si>
    <t xml:space="preserve">The average annual return a given asset mix is expected to earn.</t>
  </si>
  <si>
    <t xml:space="preserve">Asset weights w; expected return per asset class (Sheet 2).</t>
  </si>
  <si>
    <t xml:space="preserve">μp = Σ (wi × μi)   [allocation.py: portfolio_stats()]</t>
  </si>
  <si>
    <t xml:space="preserve">Annual % (μp)</t>
  </si>
  <si>
    <t xml:space="preserve">Feeds the "planning return" used to size every SIP/lumpsum requirement, and the Sharpe ratio.</t>
  </si>
  <si>
    <t xml:space="preserve">Portfolio volatility</t>
  </si>
  <si>
    <t xml:space="preserve">How much a given mix's annual return typically swings around its average.</t>
  </si>
  <si>
    <t xml:space="preserve">Asset weights w; per-asset volatility σi; the 5×5 correlation matrix ρ (Sheet 2/4).</t>
  </si>
  <si>
    <t xml:space="preserve">σp = √(wᵗ · Cov · w), where Cov = outer(σ,σ) ⊙ ρ   [allocation.py: portfolio_stats()]</t>
  </si>
  <si>
    <t xml:space="preserve">Annual % (σp)</t>
  </si>
  <si>
    <t xml:space="preserve">Used for the Sharpe ratio, the "bad year"/"stress decline" figures, and the Monte Carlo simulation's month-to-month noise.</t>
  </si>
  <si>
    <t xml:space="preserve">Sharpe ratio</t>
  </si>
  <si>
    <t xml:space="preserve">Return earned per unit of risk taken, versus a safe benchmark.</t>
  </si>
  <si>
    <t xml:space="preserve">μp, σp, risk-free rate (6.5%, config.RISK_FREE_RATE).</t>
  </si>
  <si>
    <t xml:space="preserve">Sharpe = (μp − rf) / σp   [allocation.py: sharpe_ratio()]</t>
  </si>
  <si>
    <t xml:space="preserve">A ratio (e.g. 0.36)</t>
  </si>
  <si>
    <t xml:space="preserve">Shown behind an "advanced" expander for comparing the 3 options; not used anywhere in the funding math.</t>
  </si>
  <si>
    <t xml:space="preserve">Goal future value</t>
  </si>
  <si>
    <t xml:space="preserve">What a goal will actually cost on its target date, after inflation.</t>
  </si>
  <si>
    <t xml:space="preserve">Today's cost, years to go, goal-type inflation category (Sheet 2).</t>
  </si>
  <si>
    <t xml:space="preserve">target = cost × (1 + inflation_rate) ^ years   [risk.py: build_goals()]</t>
  </si>
  <si>
    <t xml:space="preserve">₹ target</t>
  </si>
  <si>
    <t xml:space="preserve">This is the number every SIP/lumpsum requirement is solved against — get this wrong and everything downstream is wrong, so it is the first thing computed.</t>
  </si>
  <si>
    <t xml:space="preserve">SIP requirement</t>
  </si>
  <si>
    <t xml:space="preserve">The monthly contribution needed to reach a goal's future value.</t>
  </si>
  <si>
    <t xml:space="preserve">Target, years, the goal's own "planning return" (from its own allocation), SIP step-up %.</t>
  </si>
  <si>
    <t xml:space="preserve">No step-up: SIP = target × rm ⁄ ((1+rm)^months − 1), rm = (1+g)^(1/12) − 1. With step-up: solved by binary search on the month-by-month compounding.   [allocation.py: required_funding()]</t>
  </si>
  <si>
    <t xml:space="preserve">₹ / month</t>
  </si>
  <si>
    <t xml:space="preserve">Compared against the money actually available (after the emergency-fund top-up and priority ordering) to produce each goal's "% funded" figure.</t>
  </si>
  <si>
    <t xml:space="preserve">Lump-sum future value / requirement</t>
  </si>
  <si>
    <t xml:space="preserve">The lumpsum needed today to reach a goal's future value.</t>
  </si>
  <si>
    <t xml:space="preserve">Target, years, planning return g.</t>
  </si>
  <si>
    <t xml:space="preserve">required = target ⁄ (1+g)^years, i.e. the inverse of FV = PV×(1+r)^n   [allocation.py: required_funding()]</t>
  </si>
  <si>
    <t xml:space="preserve">₹ (today)</t>
  </si>
  <si>
    <t xml:space="preserve">Same funding/funded-ratio mechanism as the SIP case, used whenever the investor chose Lumpsum mode.</t>
  </si>
  <si>
    <t xml:space="preserve">Inflation adjustment</t>
  </si>
  <si>
    <t xml:space="preserve">Different goal types are assumed to get expensive at different rates.</t>
  </si>
  <si>
    <t xml:space="preserve">Goal category (General / Education / Healthcare / Travel / Housing), years.</t>
  </si>
  <si>
    <t xml:space="preserve">Compounded at the category's own rate, not one flat number for every goal.   [config.GOAL_INFLATION]</t>
  </si>
  <si>
    <t xml:space="preserve">An inflated ₹ target (feeds "Goal future value" above)</t>
  </si>
  <si>
    <t xml:space="preserve">A Healthcare or Education goal is sized noticeably higher than the same today's-cost General goal over the same horizon.</t>
  </si>
  <si>
    <t xml:space="preserve">Emergency-fund requirement</t>
  </si>
  <si>
    <t xml:space="preserve">How large a liquid safety buffer the investor should hold before investing.</t>
  </si>
  <si>
    <t xml:space="preserve">Employment type, number of dependents, monthly expenses, current emergency savings.</t>
  </si>
  <si>
    <t xml:space="preserve">months = base_months(employment) + 1 × dependents, capped at 12; target = months × expenses; shortfall = max(0, target − current).   [risk.py: emergency_fund_target(), financial_snapshot()]</t>
  </si>
  <si>
    <t xml:space="preserve">Months, ₹ target, ₹ shortfall</t>
  </si>
  <si>
    <t xml:space="preserve">Any shortfall is carved out of the investable amount FIRST, kept 100% liquid, before anything is allocated to goals — see "Goal funding gap" below.</t>
  </si>
  <si>
    <t xml:space="preserve">Goal funding gap</t>
  </si>
  <si>
    <t xml:space="preserve">Whether the money actually available is enough to fully fund each goal.</t>
  </si>
  <si>
    <t xml:space="preserve">Each goal's required funding, money left after the emergency top-up, goal priority tier (Essential → Important → Aspirational, nearest date first within a tier).</t>
  </si>
  <si>
    <t xml:space="preserve">funding = min(required, money_still_available); funded_ratio = funding ⁄ required; available money is reduced goal by goal in priority order.   [allocation.py: build_plan() step 3]</t>
  </si>
  <si>
    <t xml:space="preserve">₹ funded, % funded per goal</t>
  </si>
  <si>
    <t xml:space="preserve">Drives the "this goal is only X% funded" notes and the "consider a larger amount / later date" advice.</t>
  </si>
  <si>
    <t xml:space="preserve">Portfolio allocation</t>
  </si>
  <si>
    <t xml:space="preserve">The actual % split across the 5 asset classes recommended for a goal / overall.</t>
  </si>
  <si>
    <t xml:space="preserve">Goal horizon bucket (Short/Medium/Long), risk profile, existing-holdings equity share (if provided).</t>
  </si>
  <si>
    <t xml:space="preserve">Lookup from a fixed bucket × profile table (Sheet 6); forced 100% liquid if the goal is ≤1 year away; tilted away from equity if existing holdings are already equity-heavy (or the reverse).   [allocation.py: ALLOC, goal_allocation(), tilt_for_existing()]</t>
  </si>
  <si>
    <t xml:space="preserve">% in Liquid / Debt / Gold / Large-cap / Mid-cap</t>
  </si>
  <si>
    <t xml:space="preserve">This is the actual portfolio shown to the user for each goal and overall.</t>
  </si>
  <si>
    <t xml:space="preserve">Scenario analysis (Monte Carlo)</t>
  </si>
  <si>
    <t xml:space="preserve">A range of possible future outcomes for the money invested, not just one number.</t>
  </si>
  <si>
    <t xml:space="preserve">Monthly μ and σ for the chosen mix, the money being invested, 2,000 simulated market paths (fixed seed 42, so demos are reproducible).</t>
  </si>
  <si>
    <t xml:space="preserve">Compounds the contribution through N(μ/12, σ/√12) monthly shocks (floored at −95% in any one month) across 2,000 simulated futures; reports the median, 10th/90th percentile outcome, and the % of futures that reach the target.   [allocation.py: simulate()]</t>
  </si>
  <si>
    <t xml:space="preserve">₹ median / P10 / P90, probability of reaching the target</t>
  </si>
  <si>
    <t xml:space="preserve">Produces the "chance of reaching your goal" figure and the Conservative/Expected/Optimistic scenario chart shown to the user.</t>
  </si>
  <si>
    <t xml:space="preserve">Rebalancing logic</t>
  </si>
  <si>
    <t xml:space="preserve">Guidance on when to review / rebalance the recommended mix over time.</t>
  </si>
  <si>
    <t xml:space="preserve">None — this is currently a fixed block of advisory text, not a computed rule.</t>
  </si>
  <si>
    <t xml:space="preserve">Methodology currently undefined — recommended rule required. The app only displays a static tip ("review at least once a year, or sooner if any asset class drifts more than about 5 percentage points from its target") in app.py; no code measures actual drift from any portfolio data or re-triggers anything automatically.</t>
  </si>
  <si>
    <t xml:space="preserve">Static text only (no computed output)</t>
  </si>
  <si>
    <t xml:space="preserve">None — does not feed back into the recommendation engine at all.</t>
  </si>
  <si>
    <t xml:space="preserve">Assumptions</t>
  </si>
  <si>
    <t xml:space="preserve">Every stated, tunable number the engine runs on, exactly as written in config.py and data/assumptions.csv — nothing here is hidden inside a formula. Values in blue are the raw numbers used by the code today.</t>
  </si>
  <si>
    <t xml:space="preserve">Assumption</t>
  </si>
  <si>
    <t xml:space="preserve">Value</t>
  </si>
  <si>
    <t xml:space="preserve">Unit</t>
  </si>
  <si>
    <t xml:space="preserve">Reason / basis</t>
  </si>
  <si>
    <t xml:space="preserve">Where it is used</t>
  </si>
  <si>
    <t xml:space="preserve">Liquid Fund — expected return</t>
  </si>
  <si>
    <t xml:space="preserve">%/yr</t>
  </si>
  <si>
    <t xml:space="preserve">Placeholder, directionally in line with short-term liquid-fund yields. Not fitted to downloaded data for this submission.</t>
  </si>
  <si>
    <t xml:space="preserve">config._DEFAULTS / data/assumptions.csv; allocation.portfolio_stats()</t>
  </si>
  <si>
    <t xml:space="preserve">Debt Fund — expected return</t>
  </si>
  <si>
    <t xml:space="preserve">Placeholder, mid-single-digit debt-fund range.</t>
  </si>
  <si>
    <t xml:space="preserve">config._DEFAULTS / data/assumptions.csv</t>
  </si>
  <si>
    <t xml:space="preserve">Gold — expected return</t>
  </si>
  <si>
    <t xml:space="preserve">Placeholder, broadly in line with cited long-run gold returns.</t>
  </si>
  <si>
    <t xml:space="preserve">Large-cap Equity — expected return</t>
  </si>
  <si>
    <t xml:space="preserve">Placeholder, roughly Nifty-50-type large-cap range.</t>
  </si>
  <si>
    <t xml:space="preserve">Mid-cap Equity — expected return</t>
  </si>
  <si>
    <t xml:space="preserve">Placeholder, roughly Nifty-Midcap-type range.</t>
  </si>
  <si>
    <t xml:space="preserve">Indian equity — one blended figure</t>
  </si>
  <si>
    <t xml:space="preserve">N/A</t>
  </si>
  <si>
    <t xml:space="preserve">—</t>
  </si>
  <si>
    <t xml:space="preserve">The app does not use a single blended "Indian equity" return. It models equity as two separate asset classes (Large-cap and Mid-cap, above), each with its own return/volatility.</t>
  </si>
  <si>
    <t xml:space="preserve">See the two rows above</t>
  </si>
  <si>
    <t xml:space="preserve">International equity — expected return</t>
  </si>
  <si>
    <t xml:space="preserve">Not implemented</t>
  </si>
  <si>
    <t xml:space="preserve">Methodology currently undefined — recommended rule required. The app has exactly 5 asset classes (config.ASSETS); there is no international-equity bucket anywhere in the code.</t>
  </si>
  <si>
    <t xml:space="preserve">Risk-free rate</t>
  </si>
  <si>
    <t xml:space="preserve">Placeholder — approx. short-term G-Sec / liquid-fund yield; used only for the Sharpe-ratio calculation, nowhere else.</t>
  </si>
  <si>
    <t xml:space="preserve">config.RISK_FREE_RATE; allocation.sharpe_ratio()</t>
  </si>
  <si>
    <t xml:space="preserve">Expected (general) inflation</t>
  </si>
  <si>
    <t xml:space="preserve">Stated planning assumption for goals with no specific category.</t>
  </si>
  <si>
    <t xml:space="preserve">config.INFLATION; config.GOAL_INFLATION['General']</t>
  </si>
  <si>
    <t xml:space="preserve">Education inflation</t>
  </si>
  <si>
    <t xml:space="preserve">Education costs are assumed to rise faster than general CPI.</t>
  </si>
  <si>
    <t xml:space="preserve">config.GOAL_INFLATION['Education']</t>
  </si>
  <si>
    <t xml:space="preserve">Healthcare inflation</t>
  </si>
  <si>
    <t xml:space="preserve">Healthcare costs are assumed to rise fastest of the categories modelled.</t>
  </si>
  <si>
    <t xml:space="preserve">config.GOAL_INFLATION['Healthcare']</t>
  </si>
  <si>
    <t xml:space="preserve">Travel inflation</t>
  </si>
  <si>
    <t xml:space="preserve">Same as general inflation.</t>
  </si>
  <si>
    <t xml:space="preserve">config.GOAL_INFLATION['Travel']</t>
  </si>
  <si>
    <t xml:space="preserve">Housing inflation</t>
  </si>
  <si>
    <t xml:space="preserve">Assumed slightly above general inflation.</t>
  </si>
  <si>
    <t xml:space="preserve">config.GOAL_INFLATION['Housing']</t>
  </si>
  <si>
    <t xml:space="preserve">Salary growth</t>
  </si>
  <si>
    <t xml:space="preserve">Methodology currently undefined — recommended rule required. The app has no income-growth assumption at all. The SIP step-up rate (below) grows the *contribution amount* the user chooses, which is a related but different thing from the user's salary growing.</t>
  </si>
  <si>
    <t xml:space="preserve">SIP annual step-up (default)</t>
  </si>
  <si>
    <t xml:space="preserve">0% unless the user sets a different value in the Money &amp; goals step; used to size a growing SIP via month-by-month compounding.</t>
  </si>
  <si>
    <t xml:space="preserve">config.DEFAULT_SIP_STEP_UP; allocation._sip_future_value(), required_funding()</t>
  </si>
  <si>
    <t xml:space="preserve">Liquid Fund — volatility</t>
  </si>
  <si>
    <t xml:space="preserve">%/yr (σ)</t>
  </si>
  <si>
    <t xml:space="preserve">Placeholder.</t>
  </si>
  <si>
    <t xml:space="preserve">Debt Fund — volatility</t>
  </si>
  <si>
    <t xml:space="preserve">Gold — volatility</t>
  </si>
  <si>
    <t xml:space="preserve">Large-cap Equity — volatility</t>
  </si>
  <si>
    <t xml:space="preserve">Mid-cap Equity — volatility</t>
  </si>
  <si>
    <t xml:space="preserve">Asset-class correlations (ρ)</t>
  </si>
  <si>
    <t xml:space="preserve">see matrix below</t>
  </si>
  <si>
    <t xml:space="preserve">Stated, not fitted to data — e.g. equity–debt ≈ 0.10, Large-cap–Mid-cap ≈ 0.85 (the two equity sub-classes move closely together).</t>
  </si>
  <si>
    <t xml:space="preserve">config.CORR / allocation.py (used to build the covariance matrix)</t>
  </si>
  <si>
    <t xml:space="preserve">Default retirement age</t>
  </si>
  <si>
    <t xml:space="preserve">years</t>
  </si>
  <si>
    <t xml:space="preserve">Not a config.py constant — it is a UI widget default hardcoded in app.py's "Retirement age" number input (min 35). The user can change it; there is no centrally documented default the way the other assumptions are.</t>
  </si>
  <si>
    <t xml:space="preserve">app.py, retirement-age widget</t>
  </si>
  <si>
    <t xml:space="preserve">Emergency fund — base months (Salaried)</t>
  </si>
  <si>
    <t xml:space="preserve">months</t>
  </si>
  <si>
    <t xml:space="preserve">Commonly cited retail planning heuristic, not a regulatory requirement.</t>
  </si>
  <si>
    <t xml:space="preserve">config.EMERGENCY_MONTHS_BASE</t>
  </si>
  <si>
    <t xml:space="preserve">Emergency fund — base months (Self-employed / business owner)</t>
  </si>
  <si>
    <t xml:space="preserve">Less predictable income → larger buffer.</t>
  </si>
  <si>
    <t xml:space="preserve">Emergency fund — base months (Freelancer / professional)</t>
  </si>
  <si>
    <t xml:space="preserve">Same reasoning as self-employed.</t>
  </si>
  <si>
    <t xml:space="preserve">Emergency fund — base months (Student)</t>
  </si>
  <si>
    <t xml:space="preserve">Lower essential-expense base case assumed.</t>
  </si>
  <si>
    <t xml:space="preserve">Emergency fund — base months (Retired)</t>
  </si>
  <si>
    <t xml:space="preserve">No active income to replace.</t>
  </si>
  <si>
    <t xml:space="preserve">Emergency fund — base months (Other)</t>
  </si>
  <si>
    <t xml:space="preserve">Default fallback.</t>
  </si>
  <si>
    <t xml:space="preserve">Emergency fund — extra per dependent</t>
  </si>
  <si>
    <t xml:space="preserve">Each financial dependent adds one month of buffer.</t>
  </si>
  <si>
    <t xml:space="preserve">config.EMERGENCY_MONTHS_PER_DEPENDENT</t>
  </si>
  <si>
    <t xml:space="preserve">Emergency fund — cap</t>
  </si>
  <si>
    <t xml:space="preserve">Never ask for more than a year's buffer.</t>
  </si>
  <si>
    <t xml:space="preserve">config.EMERGENCY_MONTHS_CAP</t>
  </si>
  <si>
    <t xml:space="preserve">High EMI-burden threshold</t>
  </si>
  <si>
    <t xml:space="preserve">% of income</t>
  </si>
  <si>
    <t xml:space="preserve">EMI above this share of income is flagged as a high debt burden and reduces risk-capacity points.</t>
  </si>
  <si>
    <t xml:space="preserve">config.HIGH_EMI_BURDEN_RATIO</t>
  </si>
  <si>
    <t xml:space="preserve">High-interest debt threshold</t>
  </si>
  <si>
    <t xml:space="preserve">Loans costlier than this trigger a "repay before investing more" note (the rate itself is entered by the user as a yes/no flag, not compared numerically in code).</t>
  </si>
  <si>
    <t xml:space="preserve">config.HIGH_INTEREST_DEBT_RATE</t>
  </si>
  <si>
    <t xml:space="preserve">Existing-portfolio offset</t>
  </si>
  <si>
    <t xml:space="preserve">0–1 scale</t>
  </si>
  <si>
    <t xml:space="preserve">How strongly new money is tilted away from an already-concentrated existing portfolio. 0 = ignore existing holdings, 1 = fully offset them.</t>
  </si>
  <si>
    <t xml:space="preserve">config.EXISTING_PORTFOLIO_OFFSET; allocation.tilt_for_existing()</t>
  </si>
  <si>
    <t xml:space="preserve">Planning margin</t>
  </si>
  <si>
    <t xml:space="preserve">Expected returns are planned 1 point lower than the raw expectation, for prudence.</t>
  </si>
  <si>
    <t xml:space="preserve">config.PLANNING_MARGIN; allocation.planning_return()</t>
  </si>
  <si>
    <t xml:space="preserve">Retirement corpus multiple</t>
  </si>
  <si>
    <t xml:space="preserve">× annual expenses</t>
  </si>
  <si>
    <t xml:space="preserve">The "4% rule" (1/0.04 = 25).</t>
  </si>
  <si>
    <t xml:space="preserve">config.RETIREMENT_MULTIPLE</t>
  </si>
  <si>
    <t xml:space="preserve">Capital-protection horizon</t>
  </si>
  <si>
    <t xml:space="preserve">A goal this close is forced to 100% liquid, regardless of risk profile.</t>
  </si>
  <si>
    <t xml:space="preserve">config.CAPITAL_PROTECTION_YEARS</t>
  </si>
  <si>
    <t xml:space="preserve">Short-term horizon cutoff</t>
  </si>
  <si>
    <t xml:space="preserve">Up to this many years = "Short" bucket.</t>
  </si>
  <si>
    <t xml:space="preserve">config.SHORT_MAX_YEARS; risk.bucket_for()</t>
  </si>
  <si>
    <t xml:space="preserve">Medium-term horizon cutoff</t>
  </si>
  <si>
    <t xml:space="preserve">Above the short cutoff, up to this = "Medium"; above it = "Long".</t>
  </si>
  <si>
    <t xml:space="preserve">config.MEDIUM_MAX_YEARS; risk.bucket_for()</t>
  </si>
  <si>
    <t xml:space="preserve">Risk label cutoff — Conservative</t>
  </si>
  <si>
    <t xml:space="preserve">score (1–10)</t>
  </si>
  <si>
    <t xml:space="preserve">Below this combined score → "Conservative".</t>
  </si>
  <si>
    <t xml:space="preserve">config.CONSERVATIVE_BELOW</t>
  </si>
  <si>
    <t xml:space="preserve">Risk label cutoff — Aggressive</t>
  </si>
  <si>
    <t xml:space="preserve">At/above this combined score → "Aggressive"; in between → "Moderate".</t>
  </si>
  <si>
    <t xml:space="preserve">config.AGGRESSIVE_FROM</t>
  </si>
  <si>
    <t xml:space="preserve">Monte Carlo simulations per goal/profile</t>
  </si>
  <si>
    <t xml:space="preserve">paths</t>
  </si>
  <si>
    <t xml:space="preserve">Enough paths for stable percentiles while staying fast enough for a live demo.</t>
  </si>
  <si>
    <t xml:space="preserve">config.N_SIMS</t>
  </si>
  <si>
    <t xml:space="preserve">Monte Carlo random seed</t>
  </si>
  <si>
    <t xml:space="preserve">Fixed, so identical inputs always reproduce identical results — important for a demo/viva.</t>
  </si>
  <si>
    <t xml:space="preserve">config.SEED</t>
  </si>
  <si>
    <t xml:space="preserve">Asset-class correlation matrix (ρ) — config.CORR, used by allocation.portfolio_stats()</t>
  </si>
  <si>
    <t xml:space="preserve">Liquid Fund</t>
  </si>
  <si>
    <t xml:space="preserve">Debt Fund</t>
  </si>
  <si>
    <t xml:space="preserve">Gold</t>
  </si>
  <si>
    <t xml:space="preserve">Large-cap Equity</t>
  </si>
  <si>
    <t xml:space="preserve">Mid-cap Equity</t>
  </si>
  <si>
    <t xml:space="preserve">Core Financial Calculations</t>
  </si>
  <si>
    <t xml:space="preserve">The six closed-form calculations the engine runs on every goal. Each has a live, editable worked example below the summary table — change a blue input cell and the black formula cells recompute.</t>
  </si>
  <si>
    <t xml:space="preserve">Calculation</t>
  </si>
  <si>
    <t xml:space="preserve">Formula used by the app</t>
  </si>
  <si>
    <t xml:space="preserve">Variables</t>
  </si>
  <si>
    <t xml:space="preserve">Where in the code</t>
  </si>
  <si>
    <t xml:space="preserve">Lump-Sum Future Value</t>
  </si>
  <si>
    <t xml:space="preserve">FV = PV × (1 + r) ^ n   (app uses the inverse: required PV = target ÷ (1+g)^years)</t>
  </si>
  <si>
    <t xml:space="preserve">PV = amount invested today, r = annual return, n = years</t>
  </si>
  <si>
    <t xml:space="preserve">allocation.required_funding() (sip=False branch)</t>
  </si>
  <si>
    <t xml:space="preserve">SIP Future Value</t>
  </si>
  <si>
    <t xml:space="preserve">Month-by-month: v=0; for each month t (year_idx = t÷12): v += c₀×(1+step_up)^year_idx; then v ×= (1+rm), where rm = (1+g)^(1/12) − 1. (This is an annuity-DUE pattern — the month's contribution is added *before* that month's growth is applied.)</t>
  </si>
  <si>
    <t xml:space="preserve">c₀ = first month's SIP, g = annual planning return, step_up = annual SIP growth %, rm = the equivalent monthly rate</t>
  </si>
  <si>
    <t xml:space="preserve">allocation._sip_future_value()</t>
  </si>
  <si>
    <t xml:space="preserve">Required SIP (monthly)</t>
  </si>
  <si>
    <t xml:space="preserve">No step-up: SIP = target × rm ÷ ((1+rm)^months − 1).  With step-up: solved by a 60-iteration binary search so that _sip_future_value(SIP, months, rm, step_up) = target.</t>
  </si>
  <si>
    <t xml:space="preserve">target = inflated goal value, months = years×12, rm as above</t>
  </si>
  <si>
    <t xml:space="preserve">allocation.required_funding()</t>
  </si>
  <si>
    <t xml:space="preserve">Inflation-Adjusted Goal Value</t>
  </si>
  <si>
    <t xml:space="preserve">Future Goal Cost = Current Cost × (1 + inflation_rate) ^ years — inflation_rate is the goal's OWN category rate (Sheet 2), not one flat number for every goal.</t>
  </si>
  <si>
    <t xml:space="preserve">Current Cost = today's rupee cost, inflation_rate = category rate, years = time to goal</t>
  </si>
  <si>
    <t xml:space="preserve">risk.build_goals()</t>
  </si>
  <si>
    <t xml:space="preserve">Real Return</t>
  </si>
  <si>
    <t xml:space="preserve">Real Return = (1 + Nominal Return) ÷ (1 + Inflation) − 1</t>
  </si>
  <si>
    <t xml:space="preserve">Nominal Return = expected portfolio return, Inflation = config.INFLATION (6%)</t>
  </si>
  <si>
    <t xml:space="preserve">Methodology currently undefined — recommended rule required. This standard formula is not computed or shown anywhere in the current app — every return figure displayed to the user is nominal.</t>
  </si>
  <si>
    <t xml:space="preserve">Portfolio Expected Return</t>
  </si>
  <si>
    <t xml:space="preserve">Expected Portfolio Return = Σ (Asset Weight × Expected Asset Return)</t>
  </si>
  <si>
    <t xml:space="preserve">Weight and expected return of each of the 5 asset classes (Sheet 2)</t>
  </si>
  <si>
    <t xml:space="preserve">allocation.portfolio_stats()</t>
  </si>
  <si>
    <t xml:space="preserve">Worked example 1 — Lump-Sum Future Value   (FV = PV × (1+r)^n)</t>
  </si>
  <si>
    <t xml:space="preserve">Amount invested today (PV)</t>
  </si>
  <si>
    <t xml:space="preserve">Annual return (r)</t>
  </si>
  <si>
    <t xml:space="preserve">Years (n)</t>
  </si>
  <si>
    <t xml:space="preserve">Future value (FV)</t>
  </si>
  <si>
    <t xml:space="preserve">Worked example 2 — SIP Future Value, month-by-month (first 12 months shown; the app repeats this same step for every month of the goal's horizon)</t>
  </si>
  <si>
    <t xml:space="preserve">First month's SIP (c0)</t>
  </si>
  <si>
    <t xml:space="preserve">Annual planning return (g)</t>
  </si>
  <si>
    <t xml:space="preserve">Annual SIP step-up</t>
  </si>
  <si>
    <t xml:space="preserve">Monthly rate rm = (1+g)^(1/12)-1</t>
  </si>
  <si>
    <t xml:space="preserve">Month</t>
  </si>
  <si>
    <t xml:space="preserve">Contribution this month</t>
  </si>
  <si>
    <t xml:space="preserve">Balance after this month's growth</t>
  </si>
  <si>
    <t xml:space="preserve">Balance after 12 months is the SIP future value after 1 year, computed exactly the way allocation._sip_future_value() does it internally — the app simply continues this loop for the full number of months in the goal's horizon.</t>
  </si>
  <si>
    <t xml:space="preserve">Worked example 3 — Required SIP (no step-up): SIP = target × rm ÷ ((1+rm)^months − 1)</t>
  </si>
  <si>
    <t xml:space="preserve">Target (inflated goal value)</t>
  </si>
  <si>
    <t xml:space="preserve">Months</t>
  </si>
  <si>
    <t xml:space="preserve">Monthly rate rm</t>
  </si>
  <si>
    <t xml:space="preserve">Required monthly SIP</t>
  </si>
  <si>
    <t xml:space="preserve">Note: this closed-form "ordinary annuity" formula is what required_funding() actually uses for the no-step-up case, but allocation.simulate()/_sip_future_value() compound as an "annuity-due" (contribution added, then grown, each month — see Worked example 2). Plugging this SIP back into the app's own month-by-month engine lands about 0.6-0.8% ABOVE the target rather than exactly on it, i.e. this formula is a small, documented over-estimate (asks for slightly more than strictly required), not an error — verified numerically for this project's own Marriage goal figures.</t>
  </si>
  <si>
    <t xml:space="preserve">Worked example 4 — Inflation-Adjusted Goal Value: Future Cost = Cost × (1+inflation)^years</t>
  </si>
  <si>
    <t xml:space="preserve">Today's cost</t>
  </si>
  <si>
    <t xml:space="preserve">Category inflation (General)</t>
  </si>
  <si>
    <t xml:space="preserve">Years to goal</t>
  </si>
  <si>
    <t xml:space="preserve">Inflated target</t>
  </si>
  <si>
    <t xml:space="preserve">Worked example 5 — Real Return (NOT currently computed by the app; shown per brief)</t>
  </si>
  <si>
    <t xml:space="preserve">Nominal return</t>
  </si>
  <si>
    <t xml:space="preserve">Inflation</t>
  </si>
  <si>
    <t xml:space="preserve">Real return</t>
  </si>
  <si>
    <t xml:space="preserve">Methodology currently undefined — recommended rule required.</t>
  </si>
  <si>
    <t xml:space="preserve">Worked example 6 — Portfolio Expected Return: Σ (Weight × Expected Return)</t>
  </si>
  <si>
    <t xml:space="preserve">Asset class</t>
  </si>
  <si>
    <t xml:space="preserve">Weight</t>
  </si>
  <si>
    <t xml:space="preserve">Expected return</t>
  </si>
  <si>
    <t xml:space="preserve">Contribution</t>
  </si>
  <si>
    <t xml:space="preserve">Portfolio expected return</t>
  </si>
  <si>
    <t xml:space="preserve">This is the exact example given in the brief (50% equity/12%, 30% debt/7%, 10% gold/8%, 10% liquid/6%); Sheet 7 reproduces the same Σ(w×μ) formula with this application's own real allocation and assumption numbers for the worked persona.</t>
  </si>
  <si>
    <t xml:space="preserve">Risk &amp; Portfolio Metrics</t>
  </si>
  <si>
    <t xml:space="preserve">How the app measures a portfolio's risk, built from real correlations (linked from Sheet 2, shown in green) so this recalculates if an assumption changes.</t>
  </si>
  <si>
    <t xml:space="preserve">Portfolio volatility (standard deviation), with correlations</t>
  </si>
  <si>
    <t xml:space="preserve">σp² = Σ wi²σi²  +  2·Σᵢ&lt;ⱼ wi·wj·σi·σj·ρij        then        σp = √(portfolio variance)   [allocation.portfolio_stats(), using Cov = outer(σ,σ) ⊙ ρ]</t>
  </si>
  <si>
    <t xml:space="preserve">wi = weight in asset i,  σi = volatility of asset i,  ρij = correlation between assets i and j (Sheet 2).</t>
  </si>
  <si>
    <t xml:space="preserve">Worked example — recommended Aggressive / Long-horizon allocation (Retirement goal, Sheet 7)</t>
  </si>
  <si>
    <t xml:space="preserve">Volatility (σ, from Sheet 2)</t>
  </si>
  <si>
    <t xml:space="preserve">Covariance matrix  (Covᵢⱼ = σi × σj × ρij, ρ linked from Sheet 2)</t>
  </si>
  <si>
    <t xml:space="preserve">Portfolio variance = wᵀ · Cov · w  (matrix form); Portfolio SD = √variance</t>
  </si>
  <si>
    <t xml:space="preserve">Portfolio variance (σp²)</t>
  </si>
  <si>
    <t xml:space="preserve">Portfolio volatility (σp)</t>
  </si>
  <si>
    <t xml:space="preserve">Sharpe ratio:  (Expected Portfolio Return − Risk-Free Rate) ÷ Portfolio Volatility</t>
  </si>
  <si>
    <t xml:space="preserve">Expected portfolio return (μp)</t>
  </si>
  <si>
    <t xml:space="preserve">Risk-free rate (Sheet 2)</t>
  </si>
  <si>
    <t xml:space="preserve">Portfolio volatility (σp, from above)</t>
  </si>
  <si>
    <t xml:space="preserve">Other metrics referenced in the brief — what the app actually computes</t>
  </si>
  <si>
    <t xml:space="preserve">Metric</t>
  </si>
  <si>
    <t xml:space="preserve">Formula / inputs</t>
  </si>
  <si>
    <t xml:space="preserve">Interpretation</t>
  </si>
  <si>
    <t xml:space="preserve">Where it appears in the app</t>
  </si>
  <si>
    <t xml:space="preserve">"Bad year" (a real, implemented downside estimate)</t>
  </si>
  <si>
    <t xml:space="preserve">μp − 1.645 × σp</t>
  </si>
  <si>
    <t xml:space="preserve">An analytical, roughly 1-in-20 (5th percentile) bad-year return, assuming a normal distribution — not a historical event.</t>
  </si>
  <si>
    <t xml:space="preserve">allocation.build_plan(), shown behind the "advanced" expander</t>
  </si>
  <si>
    <t xml:space="preserve">Stress decline (a real, implemented downside estimate)</t>
  </si>
  <si>
    <t xml:space="preserve">μp − 2.0 × σp</t>
  </si>
  <si>
    <t xml:space="preserve">A rarer, sharper hypothetical one-year decline than the bad-year figure — still an analytical estimate from the assumed volatility.</t>
  </si>
  <si>
    <t xml:space="preserve">allocation.build_plan(), "advanced" expander, with a tooltip explaining it is not a historical drawdown</t>
  </si>
  <si>
    <t xml:space="preserve">Maximum drawdown (peak-to-trough, historical or path-simulated)</t>
  </si>
  <si>
    <t xml:space="preserve">Methodology currently undefined — recommended rule required. The app has no multi-period path output to measure a peak-to-trough decline from; "bad year" and "stress decline" above are single-year analytical substitutes, not a true max drawdown.</t>
  </si>
  <si>
    <t xml:space="preserve">Goal achievement probability</t>
  </si>
  <si>
    <t xml:space="preserve">share of 2,000 Monte Carlo simulated futures whose ending value ≥ the goal's inflated target</t>
  </si>
  <si>
    <t xml:space="preserve">A real, implemented metric — directly answers "how likely am I to reach this goal at this contribution level?"</t>
  </si>
  <si>
    <t xml:space="preserve">allocation.simulate() → the 'prob' field; shown as "Chance of reaching your goal"</t>
  </si>
  <si>
    <t xml:space="preserve">Expected downside</t>
  </si>
  <si>
    <t xml:space="preserve">Covered by "bad year" / "stress decline" above</t>
  </si>
  <si>
    <t xml:space="preserve">The app does not compute a separate "expected downside"/"expected shortfall" (CVaR) figure; the two rows above are its actual downside metrics.</t>
  </si>
  <si>
    <t xml:space="preserve">See Sheet 3</t>
  </si>
  <si>
    <t xml:space="preserve">Methodology currently undefined — recommended rule required (not computed anywhere in the app; see Sheet 3 for the textbook formula).</t>
  </si>
  <si>
    <t xml:space="preserve">Risk Profiling &amp; Recommendation Logic</t>
  </si>
  <si>
    <t xml:space="preserve">How the app turns a user's answers into a deterministic, reproducible risk profile — no step here is ever left to the LLM to decide.</t>
  </si>
  <si>
    <t xml:space="preserve">RISK APPETITE ("willingness") — behavioural, from the stated label + a 3-question scenario quiz</t>
  </si>
  <si>
    <t xml:space="preserve">Factor</t>
  </si>
  <si>
    <t xml:space="preserve">Possible input</t>
  </si>
  <si>
    <t xml:space="preserve">Score / adjustment</t>
  </si>
  <si>
    <t xml:space="preserve">Reason</t>
  </si>
  <si>
    <t xml:space="preserve">Effect on final risk profile</t>
  </si>
  <si>
    <t xml:space="preserve">Stated risk appetite (40% of willingness)</t>
  </si>
  <si>
    <t xml:space="preserve">Low / Moderate / High</t>
  </si>
  <si>
    <t xml:space="preserve">3 / 6 / 9 (risk.STATED_SCORE)</t>
  </si>
  <si>
    <t xml:space="preserve">A simple self-reported label, given less weight than actual behaviour.</t>
  </si>
  <si>
    <t xml:space="preserve">Blended into willingness below.</t>
  </si>
  <si>
    <t xml:space="preserve">Scenario Q1 — markets fall 20% in a month</t>
  </si>
  <si>
    <t xml:space="preserve">Sell everything / Do nothing / Invest more</t>
  </si>
  <si>
    <t xml:space="preserve">2 / 6 / 10</t>
  </si>
  <si>
    <t xml:space="preserve">Panic-selling signals low real risk tolerance; buying the dip signals high tolerance.</t>
  </si>
  <si>
    <t xml:space="preserve">One of 3 quiz answers averaged, then 60% of willingness.</t>
  </si>
  <si>
    <t xml:space="preserve">Scenario Q2 — preferred 5-year outcome</t>
  </si>
  <si>
    <t xml:space="preserve">Steady ~7%, no loss / ~10% with ≤15% dips / ~13% with ≤30% dips</t>
  </si>
  <si>
    <t xml:space="preserve">Directly trades expected return against drawdown comfort.</t>
  </si>
  <si>
    <t xml:space="preserve">Same as above.</t>
  </si>
  <si>
    <t xml:space="preserve">Scenario Q3 — flexibility on the goal date</t>
  </si>
  <si>
    <t xml:space="preserve">Very important, cannot delay / could delay ~1yr / flexible</t>
  </si>
  <si>
    <t xml:space="preserve">Inflexible dates need safer, more predictable money.</t>
  </si>
  <si>
    <t xml:space="preserve">Willingness (combined)</t>
  </si>
  <si>
    <t xml:space="preserve">willingness = 0.4 × stated_score + 0.6 × mean(Q1,Q2,Q3)</t>
  </si>
  <si>
    <t xml:space="preserve">Behaviour (60%) is weighted above the self-reported label (40%) because stated risk tolerance is well known to be an unreliable predictor of actual investor behaviour.</t>
  </si>
  <si>
    <t xml:space="preserve">One of the two inputs the final score takes the LOWER of.</t>
  </si>
  <si>
    <t xml:space="preserve">RISK CAPACITY — what the investor's situation can actually afford</t>
  </si>
  <si>
    <t xml:space="preserve">Age</t>
  </si>
  <si>
    <t xml:space="preserve">≤30 / 31–40 / 41–50 / 51–60 / 61+</t>
  </si>
  <si>
    <t xml:space="preserve">9 / 7 / 5 / 3 / 2</t>
  </si>
  <si>
    <t xml:space="preserve">Younger investors have more time to recover from a bad market.</t>
  </si>
  <si>
    <t xml:space="preserve">1 of 5 factors averaged into capacity.</t>
  </si>
  <si>
    <t xml:space="preserve">Dependents</t>
  </si>
  <si>
    <t xml:space="preserve">0 / 1 / 2 / 3+</t>
  </si>
  <si>
    <t xml:space="preserve">9 / 7 / 5 / 3</t>
  </si>
  <si>
    <t xml:space="preserve">More financial dependents = less room to take investment risk.</t>
  </si>
  <si>
    <t xml:space="preserve">Same.</t>
  </si>
  <si>
    <t xml:space="preserve">Money-weighted goal horizon</t>
  </si>
  <si>
    <t xml:space="preserve">Any number of years (rupee-size-weighted average across all goals)</t>
  </si>
  <si>
    <t xml:space="preserve">horizon_pts = clamp(1, 10, 1 + 0.6 × weighted_years)</t>
  </si>
  <si>
    <t xml:space="preserve">Longer overall horizon supports more risk.</t>
  </si>
  <si>
    <t xml:space="preserve">Emergency-fund coverage</t>
  </si>
  <si>
    <t xml:space="preserve">0% to 100%+ of the target met</t>
  </si>
  <si>
    <t xml:space="preserve">emergency_pts = 2 + 7 × min(1, current ÷ target)</t>
  </si>
  <si>
    <t xml:space="preserve">No safety buffer = any market dip could force an untimely withdrawal.</t>
  </si>
  <si>
    <t xml:space="preserve">Employment stability</t>
  </si>
  <si>
    <t xml:space="preserve">Salaried / Self-employed / Freelancer / Student / Retired / Other</t>
  </si>
  <si>
    <t xml:space="preserve">7 / 5 / 4 / 5 / 3 / 5 (config.EMPLOYMENT_CAPACITY_PTS)</t>
  </si>
  <si>
    <t xml:space="preserve">More predictable income supports more capacity for market risk.</t>
  </si>
  <si>
    <t xml:space="preserve">Same, then −2 (floor 1) if EMI is a high burden (below).</t>
  </si>
  <si>
    <t xml:space="preserve">High EMI burden</t>
  </si>
  <si>
    <t xml:space="preserve">EMI &gt; 40% of monthly income?</t>
  </si>
  <si>
    <t xml:space="preserve">Employment points − 2 (never below 1)</t>
  </si>
  <si>
    <t xml:space="preserve">A heavy debt load reduces how much risk the household can really afford, on top of the stability score.</t>
  </si>
  <si>
    <t xml:space="preserve">Adjusts the employment-stability factor above.</t>
  </si>
  <si>
    <t xml:space="preserve">Liquidity need (collected but NOT scored)</t>
  </si>
  <si>
    <t xml:space="preserve">Low / Some / High — collected in the UI</t>
  </si>
  <si>
    <t xml:space="preserve">No effect on any score today</t>
  </si>
  <si>
    <t xml:space="preserve">Methodology currently undefined — recommended rule required. LIMITATIONS.md already documents this: the field is collected and shown back to the user, but risk_profile()/build_plan() never read it.</t>
  </si>
  <si>
    <t xml:space="preserve">None currently.</t>
  </si>
  <si>
    <t xml:space="preserve">Capacity (combined)</t>
  </si>
  <si>
    <t xml:space="preserve">capacity = mean(age_pts, dependents_pts, horizon_pts, emergency_pts, employment_pts)</t>
  </si>
  <si>
    <t xml:space="preserve">A simple unweighted average of the 5 factors above.</t>
  </si>
  <si>
    <t xml:space="preserve">The other input the final score takes the LOWER of.</t>
  </si>
  <si>
    <t xml:space="preserve">REQUIRED RISK — the return the stated goals would actually need (shown for awareness only; never overrides the two scores above)</t>
  </si>
  <si>
    <t xml:space="preserve">Required return</t>
  </si>
  <si>
    <t xml:space="preserve">Investable amount, every goal's inflated target, money-weighted horizon</t>
  </si>
  <si>
    <t xml:space="preserve">Binary search for r solving the funding formula at the weighted horizon</t>
  </si>
  <si>
    <t xml:space="preserve">The return the plan would need if nothing about the goals/amount changes.</t>
  </si>
  <si>
    <t xml:space="preserve">Compared to the 3 profiles' planning returns at that horizon to get a label.</t>
  </si>
  <si>
    <t xml:space="preserve">Required-risk label</t>
  </si>
  <si>
    <t xml:space="preserve">The required return above</t>
  </si>
  <si>
    <t xml:space="preserve">Low / Moderate / Moderate-High / High (vs. the Conservative/Moderate/Aggressive planning returns at that horizon)</t>
  </si>
  <si>
    <t xml:space="preserve">Translates a % into the same vocabulary as the recommended profile.</t>
  </si>
  <si>
    <t xml:space="preserve">Surfaced as a note (e.g. "you'd need ~13.2%/yr — higher than your recommended profile targets") - it never changes the recommended profile itself.</t>
  </si>
  <si>
    <t xml:space="preserve">Combining willingness + capacity into the final label</t>
  </si>
  <si>
    <t xml:space="preserve">score = clamp(1, 10, MIN(willingness, capacity))   —   the LOWER of the two, never a blended average: standard planning practice is to never recommend more risk than a client can either stomach OR afford, whichever is more restrictive.   [risk.py: risk_profile()]</t>
  </si>
  <si>
    <t xml:space="preserve">Score range</t>
  </si>
  <si>
    <t xml:space="preserve">Label actually used by the app</t>
  </si>
  <si>
    <t xml:space="preserve">config.py constant</t>
  </si>
  <si>
    <t xml:space="preserve">score &lt; 4.0</t>
  </si>
  <si>
    <t xml:space="preserve">Conservative</t>
  </si>
  <si>
    <t xml:space="preserve">CONSERVATIVE_BELOW = 4.0</t>
  </si>
  <si>
    <t xml:space="preserve">4.0 ≤ score &lt; 7.0</t>
  </si>
  <si>
    <t xml:space="preserve">Moderate</t>
  </si>
  <si>
    <t xml:space="preserve">(the band between the two cutoffs)</t>
  </si>
  <si>
    <t xml:space="preserve">score ≥ 7.0</t>
  </si>
  <si>
    <t xml:space="preserve">Aggressive</t>
  </si>
  <si>
    <t xml:space="preserve">AGGRESSIVE_FROM = 7.0</t>
  </si>
  <si>
    <t xml:space="preserve">Methodology currently undefined — recommended rule required, relative to this brief: the brief's suggested taxonomy is 5 tiers (Conservative / Moderately Conservative / Balanced / Moderately Aggressive / Aggressive). The application as built only implements 3 tiers (Conservative / Moderate / Aggressive) — shown above, exactly as coded in risk.py. Splitting each existing band in half (at score≈5.5 for "Moderately Conservative" vs "Balanced", etc.) would be a natural extension, but no such split exists in the current code, so this workbook documents the 3-tier rule the app actually runs today rather than inventing a 5th label.</t>
  </si>
  <si>
    <t xml:space="preserve">Portfolio Construction Logic</t>
  </si>
  <si>
    <t xml:space="preserve">How the final asset mix for each goal, and the overall portfolio, is actually built.</t>
  </si>
  <si>
    <t xml:space="preserve">Base allocation table — ALLOC[horizon bucket][risk profile] (allocation.py, the exact percentages the app uses)</t>
  </si>
  <si>
    <t xml:space="preserve">Horizon bucket</t>
  </si>
  <si>
    <t xml:space="preserve">Risk profile</t>
  </si>
  <si>
    <t xml:space="preserve">Equity %</t>
  </si>
  <si>
    <t xml:space="preserve">Lookup key (for Sheet 7's formulas)</t>
  </si>
  <si>
    <t xml:space="preserve">Short (≤3 yrs)</t>
  </si>
  <si>
    <t xml:space="preserve">Medium (3–7 yrs)</t>
  </si>
  <si>
    <t xml:space="preserve">Long (&gt;7 yrs)</t>
  </si>
  <si>
    <t xml:space="preserve">Override that beats the table above: if a goal is ≤1 year away (config.CAPITAL_PROTECTION_YEARS), it is forced to 100% Liquid Fund regardless of bucket or profile — money needed within a year is never put at market risk.   [allocation.goal_allocation()]</t>
  </si>
  <si>
    <t xml:space="preserve">How the base portfolio changes for a specific user — mapping the brief's examples to what the code actually does</t>
  </si>
  <si>
    <t xml:space="preserve">Trigger (as listed in the brief)</t>
  </si>
  <si>
    <t xml:space="preserve">Actual rule in this application</t>
  </si>
  <si>
    <t xml:space="preserve">Shorter goal horizon → reduce equity</t>
  </si>
  <si>
    <t xml:space="preserve">Implemented directly: a goal's own "years" picks the row of the ALLOC table above (Short/Medium/Long); equity % rises with horizon in every profile.</t>
  </si>
  <si>
    <t xml:space="preserve">More dependents → increase defensive assets</t>
  </si>
  <si>
    <t xml:space="preserve">Implemented indirectly: dependents lower the risk-CAPACITY score (Sheet 5), which can pull the recommended profile down a tier (e.g. Aggressive → Moderate), which then selects a more defensive row of the ALLOC table. There is no separate, direct "dependents → allocation %" adjustment outside of this capacity-score path.</t>
  </si>
  <si>
    <t xml:space="preserve">Insufficient emergency fund → increase liquidity</t>
  </si>
  <si>
    <t xml:space="preserve">Implemented structurally rather than via the ALLOC percentages: any emergency-fund shortfall is carved out of the investable amount FIRST and kept 100% liquid, before the ALLOC table is even applied to the remaining money (Sheet 1, "Emergency-fund requirement"). Coverage also feeds the risk-capacity score.</t>
  </si>
  <si>
    <t xml:space="preserve">Stable income → potentially higher risk capacity</t>
  </si>
  <si>
    <t xml:space="preserve">Implemented: config.EMPLOYMENT_CAPACITY_PTS gives Salaried the highest capacity points (7) and Freelancer/Retired the lowest (4/3) - see Sheet 5.</t>
  </si>
  <si>
    <t xml:space="preserve">Large existing equity portfolio → reduce incremental equity allocation</t>
  </si>
  <si>
    <t xml:space="preserve">Implemented: allocation.tilt_for_existing() - see the worked formula below.</t>
  </si>
  <si>
    <t xml:space="preserve">Goal approaching → progressively de-risk</t>
  </si>
  <si>
    <t xml:space="preserve">Implemented only in the sense that re-running the tool as a goal's "years" counts down will move it into a safer bucket (and eventually the ≤1-year 100%-liquid override); there is no scheduled or automatic re-balancing that happens on its own between sessions.</t>
  </si>
  <si>
    <t xml:space="preserve">High-interest debt → recommend debt repayment before additional investment</t>
  </si>
  <si>
    <t xml:space="preserve">Advisory text only — does not change the allocation.</t>
  </si>
  <si>
    <t xml:space="preserve">Max/min allocation constraints: the ALLOC table itself is the hard constraint — each bucket x profile cell is a fixed set of percentages, not a continuously-optimised number, so there is no separate min/max cap beyond it except the ≤1-year 100%-liquid override above.</t>
  </si>
  <si>
    <t xml:space="preserve">Existing-portfolio tilt — allocation.tilt_for_existing()</t>
  </si>
  <si>
    <t xml:space="preserve">If the client's EXISTING holdings are already more (or less) equity-heavy than this goal's own target mix, new money is nudged the other way — proportionally, not all-or-nothing:</t>
  </si>
  <si>
    <t xml:space="preserve">diff = existing_equity_share − target_equity          shift = OFFSET × diff × target_equity  (clipped to ±target_equity)          new equity weight = old weight × (1 − shift÷target_equity)          the freed-up weight is absorbed into Debt first, then Liquid if Debt would go negative. OFFSET = 0.5 (config.EXISTING_PORTFOLIO_OFFSET): 0 would ignore existing holdings entirely, 1 would fully offset them.</t>
  </si>
  <si>
    <t xml:space="preserve">Quantity</t>
  </si>
  <si>
    <t xml:space="preserve">Target mix before tilt (Moderate / Long)</t>
  </si>
  <si>
    <t xml:space="preserve">Debt 20%, Gold 10%, Large-cap 45%, Mid-cap 25% → target_equity = 70%</t>
  </si>
  <si>
    <t xml:space="preserve">Client's existing holdings</t>
  </si>
  <si>
    <t xml:space="preserve">90% equity (existing_equity_share = 0.90)</t>
  </si>
  <si>
    <t xml:space="preserve">diff = 0.90 − 0.70</t>
  </si>
  <si>
    <t xml:space="preserve">0.20</t>
  </si>
  <si>
    <t xml:space="preserve">shift = 0.5 × 0.20 × 0.70</t>
  </si>
  <si>
    <t xml:space="preserve">0.07  (7 percentage points of weight move out of equity)</t>
  </si>
  <si>
    <t xml:space="preserve">Large-cap: 0.45 − 0.07×(0.45÷0.70)</t>
  </si>
  <si>
    <t xml:space="preserve">0.405  (40.5%)</t>
  </si>
  <si>
    <t xml:space="preserve">Mid-cap: 0.25 − 0.07×(0.25÷0.70)</t>
  </si>
  <si>
    <t xml:space="preserve">0.225  (22.5%)</t>
  </si>
  <si>
    <t xml:space="preserve">Debt absorbs the shift: 0.20 + 0.07</t>
  </si>
  <si>
    <t xml:space="preserve">0.27  (27%) — Gold (10%) and Liquid (0%) unchanged</t>
  </si>
  <si>
    <t xml:space="preserve">Result</t>
  </si>
  <si>
    <t xml:space="preserve">0% Liquid / 27% Debt / 10% Gold / 40.5% Large-cap / 22.5% Mid-cap — equity cut from 70% to 63%, because the client is already heavily in equity elsewhere</t>
  </si>
  <si>
    <t xml:space="preserve">This tilt is applied only to the blended OVERALL portfolio view, never to an individual goal's own protective allocation — so a near-term goal's capital-protection rule is never weakened by a client's unrelated existing holdings.   Note: when every goal's funding happens to be ₹0 in a given period (see Sheet 7), the "existing" overall mix falls back to a simple average of each goal's own allocation (rather than a funding-weighted blend) — allocation.build_plan(), the agg.sum()==0 branch.</t>
  </si>
  <si>
    <t xml:space="preserve">Worked Example — age-27 investor from the brief</t>
  </si>
  <si>
    <t xml:space="preserve">Run through this application's real engine on 2026-10-04 (verified against a live run of risk.py / allocation.py — see worked_example.py). Blue = input, black = live formula, green = linked from another sheet, pale-green = value also verified against the real app, pale-yellow = an input the brief did not specify, assumed here for illustration.</t>
  </si>
  <si>
    <t xml:space="preserve">Investor inputs</t>
  </si>
  <si>
    <t xml:space="preserve">Input</t>
  </si>
  <si>
    <t xml:space="preserve">Source</t>
  </si>
  <si>
    <t xml:space="preserve">Given in the brief's Sheet-7 example</t>
  </si>
  <si>
    <t xml:space="preserve">Employment type</t>
  </si>
  <si>
    <t xml:space="preserve">Salaried</t>
  </si>
  <si>
    <t xml:space="preserve">ASSUMED — the brief did not specify this value; set here for illustration only (not stated in the brief)</t>
  </si>
  <si>
    <t xml:space="preserve">Annual income (₹)</t>
  </si>
  <si>
    <t xml:space="preserve">Monthly expenses (₹)</t>
  </si>
  <si>
    <t xml:space="preserve">Monthly EMI (₹)</t>
  </si>
  <si>
    <t xml:space="preserve">ASSUMED — the brief did not specify this value; set here for illustration only (not mentioned, treated as none)</t>
  </si>
  <si>
    <t xml:space="preserve">Stated risk appetite</t>
  </si>
  <si>
    <t xml:space="preserve">High</t>
  </si>
  <si>
    <t xml:space="preserve">Scenario quiz Q1 (Sheet 5)</t>
  </si>
  <si>
    <t xml:space="preserve">ASSUMED — the brief did not specify this value; set here for illustration only (quiz answers not given; set consistently with the stated "High" appetite)</t>
  </si>
  <si>
    <t xml:space="preserve">Scenario quiz Q2 (Sheet 5)</t>
  </si>
  <si>
    <t xml:space="preserve">ASSUMED — the brief did not specify this value; set here for illustration only (same reason)</t>
  </si>
  <si>
    <t xml:space="preserve">Scenario quiz Q3 (Sheet 5)</t>
  </si>
  <si>
    <t xml:space="preserve">Existing emergency savings (₹)</t>
  </si>
  <si>
    <t xml:space="preserve">Monthly SIP (₹)</t>
  </si>
  <si>
    <t xml:space="preserve">SIP annual step-up</t>
  </si>
  <si>
    <t xml:space="preserve">ASSUMED — the brief did not specify this value; set here for illustration only (not mentioned; app default)</t>
  </si>
  <si>
    <t xml:space="preserve">Retirement age</t>
  </si>
  <si>
    <t xml:space="preserve">ASSUMED — the brief did not specify this value; set here for illustration only (standard app default; not restated in the brief's example)</t>
  </si>
  <si>
    <t xml:space="preserve">Goal 1 — Marriage: years to go</t>
  </si>
  <si>
    <t xml:space="preserve">Goal 1 — Marriage: cost today (₹)</t>
  </si>
  <si>
    <t xml:space="preserve">ASSUMED — the brief did not specify this value; set here for illustration only (the brief names the goal but gives no ₹ figure; a realistic Indian urban-wedding cost is assumed for illustration)</t>
  </si>
  <si>
    <t xml:space="preserve">Existing equity / other holdings (₹)</t>
  </si>
  <si>
    <t xml:space="preserve">0 / 0</t>
  </si>
  <si>
    <t xml:space="preserve">ASSUMED — the brief did not specify this value; set here for illustration only (not mentioned, treated as none — so the existing-portfolio tilt on Sheet 6 does not apply here)</t>
  </si>
  <si>
    <t xml:space="preserve">Monthly income &amp; emergency-fund requirement</t>
  </si>
  <si>
    <t xml:space="preserve">Monthly income (₹)</t>
  </si>
  <si>
    <t xml:space="preserve">Disposable income = income − expenses − EMI</t>
  </si>
  <si>
    <t xml:space="preserve">Savings rate = disposable ÷ income</t>
  </si>
  <si>
    <t xml:space="preserve">Emergency-fund months = base(employment) + 1×dependents, capped 12</t>
  </si>
  <si>
    <t xml:space="preserve">Emergency-fund target (₹) = months × expenses</t>
  </si>
  <si>
    <t xml:space="preserve">Emergency-fund shortfall (₹) = max(0, target − current)</t>
  </si>
  <si>
    <t xml:space="preserve">Emergency-fund coverage = min(1, current ÷ target)</t>
  </si>
  <si>
    <t xml:space="preserve">Goals — inflation-adjusted future value</t>
  </si>
  <si>
    <t xml:space="preserve">Goal</t>
  </si>
  <si>
    <t xml:space="preserve">Years</t>
  </si>
  <si>
    <t xml:space="preserve">Today's value (₹)</t>
  </si>
  <si>
    <t xml:space="preserve">Inflation rate</t>
  </si>
  <si>
    <t xml:space="preserve">Inflated target (₹)</t>
  </si>
  <si>
    <t xml:space="preserve">Marriage</t>
  </si>
  <si>
    <t xml:space="preserve">Retirement</t>
  </si>
  <si>
    <t xml:space="preserve">Retirement's "today value" is sized as 25× annual expenses (config.RETIREMENT_MULTIPLE, the "4% rule"), not a cost the user typed in directly.</t>
  </si>
  <si>
    <t xml:space="preserve">Stated score (Low=3 / Moderate=6 / High=9)</t>
  </si>
  <si>
    <t xml:space="preserve">Quiz mean</t>
  </si>
  <si>
    <t xml:space="preserve">Willingness = 0.4×stated + 0.6×quiz mean</t>
  </si>
  <si>
    <t xml:space="preserve">Age points</t>
  </si>
  <si>
    <t xml:space="preserve">Dependents points</t>
  </si>
  <si>
    <t xml:space="preserve">Money-weighted horizon (years)</t>
  </si>
  <si>
    <t xml:space="preserve">Horizon points = clamp(1,10, 1+0.6×horizon)</t>
  </si>
  <si>
    <t xml:space="preserve">Emergency-fund points = 2 + 7×coverage</t>
  </si>
  <si>
    <t xml:space="preserve">High-EMI-burden flag (EMI &gt; 40% of income)</t>
  </si>
  <si>
    <t xml:space="preserve">Employment points (config.EMPLOYMENT_CAPACITY_PTS), −2 if high-EMI (floor 1)</t>
  </si>
  <si>
    <t xml:space="preserve">Capacity = AVERAGE(age, dependents, horizon, emergency, employment points)</t>
  </si>
  <si>
    <t xml:space="preserve">Score = clamp(1,10, MIN(willingness, capacity))</t>
  </si>
  <si>
    <t xml:space="preserve">Recommended profile</t>
  </si>
  <si>
    <t xml:space="preserve">Goal 1 — Marriage — allocation, planning return &amp; required SIP</t>
  </si>
  <si>
    <t xml:space="preserve">Horizon bucket (+ capital-protection check)</t>
  </si>
  <si>
    <t xml:space="preserve">Lookup key into Sheet 6's table</t>
  </si>
  <si>
    <t xml:space="preserve">Weight (Sheet 6 lookup)</t>
  </si>
  <si>
    <t xml:space="preserve">Expected return (Sheet 2)</t>
  </si>
  <si>
    <t xml:space="preserve">Volatility (Sheet 2)</t>
  </si>
  <si>
    <t xml:space="preserve">Expected return (μp) = Σ(weight × return)</t>
  </si>
  <si>
    <t xml:space="preserve">Planning return = μ − 0.5×σ² − planning margin (Sheet 2)</t>
  </si>
  <si>
    <t xml:space="preserve">Months to goal</t>
  </si>
  <si>
    <t xml:space="preserve">Monthly rate rm = (1+planning return)^(1/12) − 1</t>
  </si>
  <si>
    <t xml:space="preserve">Required monthly SIP = target × rm ÷ ((1+rm)^months − 1)</t>
  </si>
  <si>
    <t xml:space="preserve">Goal 2 — Retirement — allocation, planning return &amp; required SIP</t>
  </si>
  <si>
    <t xml:space="preserve">Money allocation — emergency top-up first, then goals by priority (Essential before Important before Aspirational; nearest date first within a tier)</t>
  </si>
  <si>
    <t xml:space="preserve">Step</t>
  </si>
  <si>
    <t xml:space="preserve">Rule</t>
  </si>
  <si>
    <t xml:space="preserve">Amount (₹)</t>
  </si>
  <si>
    <t xml:space="preserve">1. Available this month</t>
  </si>
  <si>
    <t xml:space="preserve">The monthly SIP amount</t>
  </si>
  <si>
    <t xml:space="preserve">2. Emergency-fund top-up</t>
  </si>
  <si>
    <t xml:space="preserve">funding = MIN(shortfall, money available) — taken first, kept 100% liquid</t>
  </si>
  <si>
    <t xml:space="preserve">3. Money left after emergency top-up</t>
  </si>
  <si>
    <t xml:space="preserve">4. Retirement (Essential tier — funded first)</t>
  </si>
  <si>
    <t xml:space="preserve">funding = MIN(required, money still available)</t>
  </si>
  <si>
    <t xml:space="preserve">5. Money left after Retirement</t>
  </si>
  <si>
    <t xml:space="preserve">6. Marriage (Important tier — funded next)</t>
  </si>
  <si>
    <t xml:space="preserve">Marriage — % funded</t>
  </si>
  <si>
    <t xml:space="preserve">Retirement — % funded</t>
  </si>
  <si>
    <t xml:space="preserve">With a ₹50,000 emergency-fund shortfall and only a ₹25,000 monthly SIP, this month's ENTIRE contribution is used up closing the emergency-fund gap (allocation.py models the shortfall as a single rupee amount subtracted from the period's investable money, not spread over several months) — so both goals show a real, non-zero funding gap this period, exactly as the live app would also show for these inputs. This is not a flaw introduced here; it is a faithful, verified reproduction of the app's own priority-funding rule (allocation.build_plan(), steps 2-3).</t>
  </si>
  <si>
    <t xml:space="preserve">Overall recommended portfolio</t>
  </si>
  <si>
    <t xml:space="preserve">allocation.py blends each goal's mix weighted by its ₹ funding. Since both goals are funded at ₹0 this period (above), the app's own documented fallback applies instead: a simple, unweighted average of each goal's own allocation (allocation.build_plan(), the "agg.sum()==0" branch) — not an assumption made for this workbook.</t>
  </si>
  <si>
    <t xml:space="preserve">Overall mix = AVERAGE(Marriage weight, Retirement weight) per asset</t>
  </si>
  <si>
    <t xml:space="preserve">"Bad year" (≈1-in-20, analytical) = μ − 1.645×σ</t>
  </si>
  <si>
    <t xml:space="preserve">Stress decline (rarer, sharper, analytical) = μ − 2.0×σ</t>
  </si>
  <si>
    <t xml:space="preserve">Scenario analysis (Monte Carlo) — Conservative / Expected / Optimistic</t>
  </si>
  <si>
    <t xml:space="preserve">This step is a 2,000-path Monte Carlo simulation (config.N_SIMS, seed 42) — a stochastic loop, not a closed-form formula, so Excel cannot reproduce it cell-by-cell the way the sections above do. The figures below are the REAL, verified output of allocation.simulate() run on these exact inputs (worked_example.py, 2026-10-04), not estimates typed in for this workbook.</t>
  </si>
  <si>
    <t xml:space="preserve">Actual funding this period is ₹0 for both goals (Part C above), so the app's own simulation would also return ₹0 / 0% this period — shown instead below is each goal funded at its OWN required SIP (i.e. "once the emergency fund is topped up and this goal gets its full required contribution"), which is the meaningful comparison and uses the SAME allocation, planning return and horizon computed above.</t>
  </si>
  <si>
    <t xml:space="preserve">Funded at (₹/mo)</t>
  </si>
  <si>
    <t xml:space="preserve">Conservative (P10)</t>
  </si>
  <si>
    <t xml:space="preserve">Expected (median)</t>
  </si>
  <si>
    <t xml:space="preserve">Optimistic (P90)</t>
  </si>
  <si>
    <t xml:space="preserve">Chance of reaching target</t>
  </si>
  <si>
    <t xml:space="preserve">Compare the target: Marriage needs ₹21.3 lakh in 6 years (Sheet, "Goals" above) and the Expected-case outcome of ₹22.4 lakh clears it (59% of the 2,000 simulated futures do); Retirement needs ₹10.26 crore in 33 years and the Expected-case ₹15.25 crore comfortably clears it (69% of futures do) — the gap between "needs to hit the target" and "69% chance" is exactly the planning margin / volatility drag the engine deliberately builds in (Sheet 1, "Required SIP").</t>
  </si>
  <si>
    <t xml:space="preserve">Final recommendation reasoning (the application's own generated notes for these exact inputs)</t>
  </si>
  <si>
    <t xml:space="preserve">“Rs 25,000 of your investable amount was set aside first to build up your emergency fund (kept 100% liquid), before the rest was allocated to your goals.”</t>
  </si>
  <si>
    <t xml:space="preserve">“'Marriage' is only 0% funded at your current amount (about Rs 22,469 short per month). Consider a larger amount, a later date, or a lower target.”</t>
  </si>
  <si>
    <t xml:space="preserve">“'Retirement' is only 0% funded at your current amount (about Rs 37,177 short per month). Consider a larger amount, a later date, or a lower target.”</t>
  </si>
  <si>
    <t xml:space="preserve">These are the literal, unedited notes allocation.build_plan() generated for this exact persona (notes list) — the AI layer (advisor.py) only ever turns numbers and notes like these into friendlier prose; it never produces the numbers or the logic behind them. Bottom line for this investor: an Aggressive profile is both willingly accepted and affordable (score 8.1/10), but the current ₹25,000/month is fully absorbed by the emergency-fund shortfall this period — once that gap is closed, this same SIP will need to grow (or the goals need to move) to meaningfully fund Marriage and Retirement at the required pace shown above.</t>
  </si>
</sst>
</file>

<file path=xl/styles.xml><?xml version="1.0" encoding="utf-8"?>
<styleSheet xmlns="http://schemas.openxmlformats.org/spreadsheetml/2006/main">
  <numFmts count="9">
    <numFmt numFmtId="164" formatCode="General"/>
    <numFmt numFmtId="165" formatCode="0.0%"/>
    <numFmt numFmtId="166" formatCode="0.##"/>
    <numFmt numFmtId="167" formatCode="0.00"/>
    <numFmt numFmtId="168" formatCode="\₹#,##0"/>
    <numFmt numFmtId="169" formatCode="0"/>
    <numFmt numFmtId="170" formatCode="0.00%"/>
    <numFmt numFmtId="171" formatCode="0.000000"/>
    <numFmt numFmtId="172" formatCode="General"/>
  </numFmts>
  <fonts count="14">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i val="true"/>
      <sz val="10"/>
      <color rgb="FF595959"/>
      <name val="Arial"/>
      <family val="0"/>
      <charset val="1"/>
    </font>
    <font>
      <b val="true"/>
      <sz val="10"/>
      <color rgb="FFFFFFFF"/>
      <name val="Arial"/>
      <family val="0"/>
      <charset val="1"/>
    </font>
    <font>
      <sz val="10"/>
      <color rgb="FF000000"/>
      <name val="Arial"/>
      <family val="0"/>
      <charset val="1"/>
    </font>
    <font>
      <b val="true"/>
      <i val="true"/>
      <sz val="10"/>
      <color rgb="FF9C0006"/>
      <name val="Arial"/>
      <family val="0"/>
      <charset val="1"/>
    </font>
    <font>
      <sz val="10"/>
      <color rgb="FF0000FF"/>
      <name val="Arial"/>
      <family val="0"/>
      <charset val="1"/>
    </font>
    <font>
      <sz val="10"/>
      <color rgb="FF008000"/>
      <name val="Arial"/>
      <family val="0"/>
      <charset val="1"/>
    </font>
    <font>
      <b val="true"/>
      <sz val="11"/>
      <color rgb="FFFFFFFF"/>
      <name val="Arial"/>
      <family val="0"/>
      <charset val="1"/>
    </font>
    <font>
      <b val="true"/>
      <sz val="10"/>
      <name val="Arial"/>
      <family val="0"/>
      <charset val="1"/>
    </font>
    <font>
      <i val="true"/>
      <sz val="9"/>
      <color rgb="FF595959"/>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F2F2F2"/>
        <bgColor rgb="FFE2EFDA"/>
      </patternFill>
    </fill>
    <fill>
      <patternFill patternType="solid">
        <fgColor rgb="FFFCE4E4"/>
        <bgColor rgb="FFF2F2F2"/>
      </patternFill>
    </fill>
    <fill>
      <patternFill patternType="solid">
        <fgColor rgb="FF2E5496"/>
        <bgColor rgb="FF1F3864"/>
      </patternFill>
    </fill>
    <fill>
      <patternFill patternType="solid">
        <fgColor rgb="FFE2EFDA"/>
        <bgColor rgb="FFF2F2F2"/>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5" fontId="9" fillId="3"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6" fontId="8" fillId="4" borderId="1" xfId="0" applyFont="true" applyBorder="true" applyAlignment="true" applyProtection="false">
      <alignment horizontal="center" vertical="center" textRotation="0" wrapText="fals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6" fontId="9" fillId="3" borderId="1" xfId="0" applyFont="true" applyBorder="true" applyAlignment="true" applyProtection="false">
      <alignment horizontal="center" vertical="center" textRotation="0" wrapText="false" indent="0" shrinkToFit="false"/>
      <protection locked="true" hidden="false"/>
    </xf>
    <xf numFmtId="164" fontId="11" fillId="5" borderId="0" xfId="0" applyFont="true" applyBorder="true" applyAlignment="true" applyProtection="false">
      <alignment horizontal="general" vertical="center" textRotation="0" wrapText="false" indent="1"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7" fontId="9" fillId="0" borderId="1" xfId="0" applyFont="true" applyBorder="true" applyAlignment="true" applyProtection="false">
      <alignment horizontal="center" vertical="center" textRotation="0" wrapText="fals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7" fontId="9" fillId="3"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3" fillId="3" borderId="1" xfId="0" applyFont="true" applyBorder="true" applyAlignment="true" applyProtection="false">
      <alignment horizontal="general" vertical="top" textRotation="0" wrapText="true" indent="0" shrinkToFit="false"/>
      <protection locked="true" hidden="false"/>
    </xf>
    <xf numFmtId="168" fontId="9" fillId="0" borderId="1" xfId="0" applyFont="true" applyBorder="true" applyAlignment="true" applyProtection="false">
      <alignment horizontal="center" vertical="center" textRotation="0" wrapText="false" indent="0" shrinkToFit="false"/>
      <protection locked="true" hidden="false"/>
    </xf>
    <xf numFmtId="169" fontId="9" fillId="0" borderId="1" xfId="0" applyFont="true" applyBorder="true" applyAlignment="true" applyProtection="false">
      <alignment horizontal="center" vertical="center" textRotation="0" wrapText="false" indent="0" shrinkToFit="false"/>
      <protection locked="true" hidden="false"/>
    </xf>
    <xf numFmtId="168" fontId="7" fillId="0" borderId="1" xfId="0" applyFont="true" applyBorder="true" applyAlignment="true" applyProtection="false">
      <alignment horizontal="center" vertical="center" textRotation="0" wrapText="false" indent="0" shrinkToFit="false"/>
      <protection locked="true" hidden="false"/>
    </xf>
    <xf numFmtId="170" fontId="9" fillId="0" borderId="1" xfId="0" applyFont="true" applyBorder="true" applyAlignment="true" applyProtection="false">
      <alignment horizontal="center" vertical="center" textRotation="0" wrapText="false" indent="0" shrinkToFit="false"/>
      <protection locked="true" hidden="false"/>
    </xf>
    <xf numFmtId="170" fontId="7" fillId="0"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8" fontId="7" fillId="3"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8" fontId="12" fillId="0" borderId="1" xfId="0" applyFont="true" applyBorder="true" applyAlignment="true" applyProtection="false">
      <alignment horizontal="center" vertical="center" textRotation="0" wrapText="false" indent="0" shrinkToFit="false"/>
      <protection locked="true" hidden="false"/>
    </xf>
    <xf numFmtId="164" fontId="12" fillId="3" borderId="0" xfId="0" applyFont="true" applyBorder="true" applyAlignment="false" applyProtection="false">
      <alignment horizontal="general" vertical="bottom" textRotation="0" wrapText="false" indent="0" shrinkToFit="false"/>
      <protection locked="true" hidden="false"/>
    </xf>
    <xf numFmtId="170" fontId="8" fillId="4" borderId="1" xfId="0" applyFont="true" applyBorder="true" applyAlignment="true" applyProtection="false">
      <alignment horizontal="center" vertical="center" textRotation="0" wrapText="false" indent="0" shrinkToFit="false"/>
      <protection locked="true" hidden="false"/>
    </xf>
    <xf numFmtId="170" fontId="7" fillId="3" borderId="1" xfId="0" applyFont="true" applyBorder="true" applyAlignment="true" applyProtection="false">
      <alignment horizontal="center" vertical="center" textRotation="0" wrapText="false" indent="0" shrinkToFit="false"/>
      <protection locked="true" hidden="false"/>
    </xf>
    <xf numFmtId="165" fontId="10" fillId="0" borderId="1" xfId="0" applyFont="true" applyBorder="true" applyAlignment="true" applyProtection="false">
      <alignment horizontal="center" vertical="center" textRotation="0" wrapText="false" indent="0" shrinkToFit="false"/>
      <protection locked="true" hidden="false"/>
    </xf>
    <xf numFmtId="165" fontId="10" fillId="3" borderId="1" xfId="0" applyFont="true" applyBorder="true" applyAlignment="true" applyProtection="false">
      <alignment horizontal="center" vertical="center" textRotation="0" wrapText="false" indent="0" shrinkToFit="false"/>
      <protection locked="true" hidden="false"/>
    </xf>
    <xf numFmtId="171" fontId="7" fillId="0" borderId="1" xfId="0" applyFont="true" applyBorder="true" applyAlignment="true" applyProtection="false">
      <alignment horizontal="center" vertical="center" textRotation="0" wrapText="false" indent="0" shrinkToFit="false"/>
      <protection locked="true" hidden="false"/>
    </xf>
    <xf numFmtId="171" fontId="7" fillId="3" borderId="1" xfId="0" applyFont="true" applyBorder="true" applyAlignment="true" applyProtection="false">
      <alignment horizontal="center" vertical="center" textRotation="0" wrapText="false" indent="0" shrinkToFit="false"/>
      <protection locked="true" hidden="false"/>
    </xf>
    <xf numFmtId="164" fontId="12" fillId="6" borderId="1" xfId="0" applyFont="true" applyBorder="true" applyAlignment="true" applyProtection="false">
      <alignment horizontal="general" vertical="top" textRotation="0" wrapText="true" indent="0" shrinkToFit="false"/>
      <protection locked="true" hidden="false"/>
    </xf>
    <xf numFmtId="170" fontId="7" fillId="6" borderId="1" xfId="0" applyFont="true" applyBorder="true" applyAlignment="true" applyProtection="false">
      <alignment horizontal="center" vertical="center" textRotation="0" wrapText="false" indent="0" shrinkToFit="false"/>
      <protection locked="true" hidden="false"/>
    </xf>
    <xf numFmtId="170" fontId="10" fillId="0" borderId="1" xfId="0" applyFont="true" applyBorder="true" applyAlignment="true" applyProtection="false">
      <alignment horizontal="center" vertical="center" textRotation="0" wrapText="false" indent="0" shrinkToFit="false"/>
      <protection locked="true" hidden="false"/>
    </xf>
    <xf numFmtId="167" fontId="7" fillId="6"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8" fillId="4" borderId="0"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5" fontId="7" fillId="3" borderId="1" xfId="0" applyFont="true" applyBorder="true" applyAlignment="true" applyProtection="false">
      <alignment horizontal="center" vertical="center" textRotation="0" wrapText="fals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9" fontId="9" fillId="7"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8" fontId="9" fillId="7" borderId="1" xfId="0" applyFont="true" applyBorder="true" applyAlignment="true" applyProtection="false">
      <alignment horizontal="center" vertical="center" textRotation="0" wrapText="false" indent="0" shrinkToFit="false"/>
      <protection locked="true" hidden="false"/>
    </xf>
    <xf numFmtId="169" fontId="7" fillId="0" borderId="1" xfId="0" applyFont="true" applyBorder="true" applyAlignment="true" applyProtection="false">
      <alignment horizontal="center" vertical="center" textRotation="0" wrapText="false" indent="0" shrinkToFit="false"/>
      <protection locked="true" hidden="false"/>
    </xf>
    <xf numFmtId="168" fontId="7" fillId="6"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72" fontId="7" fillId="0"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5" fontId="7" fillId="6"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0"/>
    <col collapsed="false" customWidth="true" hidden="false" outlineLevel="0" max="3" min="3" style="0" width="28"/>
    <col collapsed="false" customWidth="true" hidden="false" outlineLevel="0" max="4" min="4" style="0" width="46"/>
    <col collapsed="false" customWidth="true" hidden="false" outlineLevel="0" max="5" min="5" style="0" width="22"/>
    <col collapsed="false" customWidth="true" hidden="false" outlineLevel="0" max="6" min="6" style="0" width="34"/>
  </cols>
  <sheetData>
    <row r="1" customFormat="false" ht="21.75" hidden="false" customHeight="true" outlineLevel="0" collapsed="false">
      <c r="A1" s="1" t="s">
        <v>0</v>
      </c>
      <c r="B1" s="1"/>
      <c r="C1" s="1"/>
      <c r="D1" s="1"/>
      <c r="E1" s="1"/>
      <c r="F1" s="1"/>
    </row>
    <row r="2" customFormat="false" ht="15.75" hidden="false" customHeight="true" outlineLevel="0" collapsed="false">
      <c r="A2" s="2" t="s">
        <v>1</v>
      </c>
      <c r="B2" s="2"/>
      <c r="C2" s="2"/>
      <c r="D2" s="2"/>
      <c r="E2" s="2"/>
      <c r="F2" s="2"/>
    </row>
    <row r="4" customFormat="false" ht="30" hidden="false" customHeight="true" outlineLevel="0" collapsed="false">
      <c r="A4" s="3" t="s">
        <v>2</v>
      </c>
      <c r="B4" s="3" t="s">
        <v>3</v>
      </c>
      <c r="C4" s="3" t="s">
        <v>4</v>
      </c>
      <c r="D4" s="3" t="s">
        <v>5</v>
      </c>
      <c r="E4" s="3" t="s">
        <v>6</v>
      </c>
      <c r="F4" s="3" t="s">
        <v>7</v>
      </c>
    </row>
    <row r="5" customFormat="false" ht="39" hidden="false" customHeight="true" outlineLevel="0" collapsed="false">
      <c r="A5" s="4" t="s">
        <v>8</v>
      </c>
      <c r="B5" s="4" t="s">
        <v>9</v>
      </c>
      <c r="C5" s="4" t="s">
        <v>10</v>
      </c>
      <c r="D5" s="4" t="s">
        <v>11</v>
      </c>
      <c r="E5" s="4" t="s">
        <v>12</v>
      </c>
      <c r="F5" s="4" t="s">
        <v>13</v>
      </c>
    </row>
    <row r="6" customFormat="false" ht="64.5" hidden="false" customHeight="true" outlineLevel="0" collapsed="false">
      <c r="A6" s="5" t="s">
        <v>14</v>
      </c>
      <c r="B6" s="5" t="s">
        <v>15</v>
      </c>
      <c r="C6" s="5" t="s">
        <v>16</v>
      </c>
      <c r="D6" s="5" t="s">
        <v>17</v>
      </c>
      <c r="E6" s="5" t="s">
        <v>18</v>
      </c>
      <c r="F6" s="5" t="s">
        <v>19</v>
      </c>
    </row>
    <row r="7" customFormat="false" ht="90" hidden="false" customHeight="true" outlineLevel="0" collapsed="false">
      <c r="A7" s="4" t="s">
        <v>20</v>
      </c>
      <c r="B7" s="4" t="s">
        <v>21</v>
      </c>
      <c r="C7" s="4" t="s">
        <v>22</v>
      </c>
      <c r="D7" s="4" t="s">
        <v>23</v>
      </c>
      <c r="E7" s="4" t="s">
        <v>24</v>
      </c>
      <c r="F7" s="4" t="s">
        <v>25</v>
      </c>
    </row>
    <row r="8" customFormat="false" ht="64.5" hidden="false" customHeight="true" outlineLevel="0" collapsed="false">
      <c r="A8" s="5" t="s">
        <v>26</v>
      </c>
      <c r="B8" s="5" t="s">
        <v>27</v>
      </c>
      <c r="C8" s="5" t="s">
        <v>28</v>
      </c>
      <c r="D8" s="5" t="s">
        <v>29</v>
      </c>
      <c r="E8" s="5" t="s">
        <v>30</v>
      </c>
      <c r="F8" s="5" t="s">
        <v>31</v>
      </c>
    </row>
    <row r="9" customFormat="false" ht="39" hidden="false" customHeight="true" outlineLevel="0" collapsed="false">
      <c r="A9" s="4" t="s">
        <v>32</v>
      </c>
      <c r="B9" s="4" t="s">
        <v>33</v>
      </c>
      <c r="C9" s="4" t="s">
        <v>34</v>
      </c>
      <c r="D9" s="4" t="s">
        <v>35</v>
      </c>
      <c r="E9" s="4" t="s">
        <v>36</v>
      </c>
      <c r="F9" s="4" t="s">
        <v>37</v>
      </c>
    </row>
    <row r="10" customFormat="false" ht="39" hidden="false" customHeight="true" outlineLevel="0" collapsed="false">
      <c r="A10" s="5" t="s">
        <v>38</v>
      </c>
      <c r="B10" s="5" t="s">
        <v>39</v>
      </c>
      <c r="C10" s="5" t="s">
        <v>40</v>
      </c>
      <c r="D10" s="5" t="s">
        <v>41</v>
      </c>
      <c r="E10" s="5" t="s">
        <v>42</v>
      </c>
      <c r="F10" s="5" t="s">
        <v>43</v>
      </c>
    </row>
    <row r="11" customFormat="false" ht="39" hidden="false" customHeight="true" outlineLevel="0" collapsed="false">
      <c r="A11" s="4" t="s">
        <v>44</v>
      </c>
      <c r="B11" s="4" t="s">
        <v>45</v>
      </c>
      <c r="C11" s="4" t="s">
        <v>46</v>
      </c>
      <c r="D11" s="4" t="s">
        <v>47</v>
      </c>
      <c r="E11" s="4" t="s">
        <v>48</v>
      </c>
      <c r="F11" s="4" t="s">
        <v>49</v>
      </c>
    </row>
    <row r="12" customFormat="false" ht="51.75" hidden="false" customHeight="true" outlineLevel="0" collapsed="false">
      <c r="A12" s="5" t="s">
        <v>50</v>
      </c>
      <c r="B12" s="5" t="s">
        <v>51</v>
      </c>
      <c r="C12" s="5" t="s">
        <v>52</v>
      </c>
      <c r="D12" s="5" t="s">
        <v>53</v>
      </c>
      <c r="E12" s="5" t="s">
        <v>54</v>
      </c>
      <c r="F12" s="5" t="s">
        <v>55</v>
      </c>
    </row>
    <row r="13" customFormat="false" ht="64.5" hidden="false" customHeight="true" outlineLevel="0" collapsed="false">
      <c r="A13" s="4" t="s">
        <v>56</v>
      </c>
      <c r="B13" s="4" t="s">
        <v>57</v>
      </c>
      <c r="C13" s="4" t="s">
        <v>58</v>
      </c>
      <c r="D13" s="4" t="s">
        <v>59</v>
      </c>
      <c r="E13" s="4" t="s">
        <v>60</v>
      </c>
      <c r="F13" s="4" t="s">
        <v>61</v>
      </c>
    </row>
    <row r="14" customFormat="false" ht="39" hidden="false" customHeight="true" outlineLevel="0" collapsed="false">
      <c r="A14" s="5" t="s">
        <v>62</v>
      </c>
      <c r="B14" s="5" t="s">
        <v>63</v>
      </c>
      <c r="C14" s="5" t="s">
        <v>64</v>
      </c>
      <c r="D14" s="5" t="s">
        <v>65</v>
      </c>
      <c r="E14" s="5" t="s">
        <v>66</v>
      </c>
      <c r="F14" s="5" t="s">
        <v>67</v>
      </c>
    </row>
    <row r="15" customFormat="false" ht="39" hidden="false" customHeight="true" outlineLevel="0" collapsed="false">
      <c r="A15" s="4" t="s">
        <v>68</v>
      </c>
      <c r="B15" s="4" t="s">
        <v>69</v>
      </c>
      <c r="C15" s="4" t="s">
        <v>70</v>
      </c>
      <c r="D15" s="4" t="s">
        <v>71</v>
      </c>
      <c r="E15" s="4" t="s">
        <v>72</v>
      </c>
      <c r="F15" s="4" t="s">
        <v>73</v>
      </c>
    </row>
    <row r="16" customFormat="false" ht="64.5" hidden="false" customHeight="true" outlineLevel="0" collapsed="false">
      <c r="A16" s="5" t="s">
        <v>74</v>
      </c>
      <c r="B16" s="5" t="s">
        <v>75</v>
      </c>
      <c r="C16" s="5" t="s">
        <v>76</v>
      </c>
      <c r="D16" s="5" t="s">
        <v>77</v>
      </c>
      <c r="E16" s="5" t="s">
        <v>78</v>
      </c>
      <c r="F16" s="5" t="s">
        <v>79</v>
      </c>
    </row>
    <row r="17" customFormat="false" ht="64.5" hidden="false" customHeight="true" outlineLevel="0" collapsed="false">
      <c r="A17" s="4" t="s">
        <v>80</v>
      </c>
      <c r="B17" s="4" t="s">
        <v>81</v>
      </c>
      <c r="C17" s="4" t="s">
        <v>82</v>
      </c>
      <c r="D17" s="4" t="s">
        <v>83</v>
      </c>
      <c r="E17" s="4" t="s">
        <v>84</v>
      </c>
      <c r="F17" s="4" t="s">
        <v>85</v>
      </c>
    </row>
    <row r="18" customFormat="false" ht="90" hidden="false" customHeight="true" outlineLevel="0" collapsed="false">
      <c r="A18" s="5" t="s">
        <v>86</v>
      </c>
      <c r="B18" s="5" t="s">
        <v>87</v>
      </c>
      <c r="C18" s="5" t="s">
        <v>88</v>
      </c>
      <c r="D18" s="5" t="s">
        <v>89</v>
      </c>
      <c r="E18" s="5" t="s">
        <v>90</v>
      </c>
      <c r="F18" s="5" t="s">
        <v>91</v>
      </c>
    </row>
    <row r="19" customFormat="false" ht="90" hidden="false" customHeight="true" outlineLevel="0" collapsed="false">
      <c r="A19" s="4" t="s">
        <v>92</v>
      </c>
      <c r="B19" s="4" t="s">
        <v>93</v>
      </c>
      <c r="C19" s="4" t="s">
        <v>94</v>
      </c>
      <c r="D19" s="4" t="s">
        <v>95</v>
      </c>
      <c r="E19" s="4" t="s">
        <v>96</v>
      </c>
      <c r="F19" s="4" t="s">
        <v>97</v>
      </c>
    </row>
    <row r="20" customFormat="false" ht="90" hidden="false" customHeight="true" outlineLevel="0" collapsed="false">
      <c r="A20" s="6" t="s">
        <v>98</v>
      </c>
      <c r="B20" s="5" t="s">
        <v>99</v>
      </c>
      <c r="C20" s="5" t="s">
        <v>100</v>
      </c>
      <c r="D20" s="7" t="s">
        <v>101</v>
      </c>
      <c r="E20" s="5" t="s">
        <v>102</v>
      </c>
      <c r="F20" s="5" t="s">
        <v>103</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6" min="2" style="0" width="13"/>
  </cols>
  <sheetData>
    <row r="1" customFormat="false" ht="21.75" hidden="false" customHeight="true" outlineLevel="0" collapsed="false">
      <c r="A1" s="1" t="s">
        <v>104</v>
      </c>
      <c r="B1" s="1"/>
      <c r="C1" s="1"/>
      <c r="D1" s="1"/>
      <c r="E1" s="1"/>
    </row>
    <row r="2" customFormat="false" ht="15.75" hidden="false" customHeight="true" outlineLevel="0" collapsed="false">
      <c r="A2" s="2" t="s">
        <v>105</v>
      </c>
      <c r="B2" s="2"/>
      <c r="C2" s="2"/>
      <c r="D2" s="2"/>
      <c r="E2" s="2"/>
    </row>
    <row r="4" customFormat="false" ht="30" hidden="false" customHeight="true" outlineLevel="0" collapsed="false">
      <c r="A4" s="3" t="s">
        <v>106</v>
      </c>
      <c r="B4" s="3" t="s">
        <v>107</v>
      </c>
      <c r="C4" s="3" t="s">
        <v>108</v>
      </c>
      <c r="D4" s="3" t="s">
        <v>109</v>
      </c>
      <c r="E4" s="3" t="s">
        <v>110</v>
      </c>
    </row>
    <row r="5" customFormat="false" ht="39" hidden="false" customHeight="true" outlineLevel="0" collapsed="false">
      <c r="A5" s="4" t="s">
        <v>111</v>
      </c>
      <c r="B5" s="8" t="n">
        <v>0.06</v>
      </c>
      <c r="C5" s="4" t="s">
        <v>112</v>
      </c>
      <c r="D5" s="4" t="s">
        <v>113</v>
      </c>
      <c r="E5" s="4" t="s">
        <v>114</v>
      </c>
    </row>
    <row r="6" customFormat="false" ht="25.5" hidden="false" customHeight="true" outlineLevel="0" collapsed="false">
      <c r="A6" s="5" t="s">
        <v>115</v>
      </c>
      <c r="B6" s="9" t="n">
        <v>0.07</v>
      </c>
      <c r="C6" s="5" t="s">
        <v>112</v>
      </c>
      <c r="D6" s="5" t="s">
        <v>116</v>
      </c>
      <c r="E6" s="5" t="s">
        <v>117</v>
      </c>
    </row>
    <row r="7" customFormat="false" ht="25.5" hidden="false" customHeight="true" outlineLevel="0" collapsed="false">
      <c r="A7" s="4" t="s">
        <v>118</v>
      </c>
      <c r="B7" s="8" t="n">
        <v>0.08</v>
      </c>
      <c r="C7" s="4" t="s">
        <v>112</v>
      </c>
      <c r="D7" s="4" t="s">
        <v>119</v>
      </c>
      <c r="E7" s="4" t="s">
        <v>117</v>
      </c>
    </row>
    <row r="8" customFormat="false" ht="25.5" hidden="false" customHeight="true" outlineLevel="0" collapsed="false">
      <c r="A8" s="5" t="s">
        <v>120</v>
      </c>
      <c r="B8" s="9" t="n">
        <v>0.12</v>
      </c>
      <c r="C8" s="5" t="s">
        <v>112</v>
      </c>
      <c r="D8" s="5" t="s">
        <v>121</v>
      </c>
      <c r="E8" s="5" t="s">
        <v>117</v>
      </c>
    </row>
    <row r="9" customFormat="false" ht="25.5" hidden="false" customHeight="true" outlineLevel="0" collapsed="false">
      <c r="A9" s="4" t="s">
        <v>122</v>
      </c>
      <c r="B9" s="8" t="n">
        <v>0.14</v>
      </c>
      <c r="C9" s="4" t="s">
        <v>112</v>
      </c>
      <c r="D9" s="4" t="s">
        <v>123</v>
      </c>
      <c r="E9" s="4" t="s">
        <v>117</v>
      </c>
    </row>
    <row r="10" customFormat="false" ht="64.5" hidden="false" customHeight="true" outlineLevel="0" collapsed="false">
      <c r="A10" s="5" t="s">
        <v>124</v>
      </c>
      <c r="B10" s="10" t="s">
        <v>125</v>
      </c>
      <c r="C10" s="5" t="s">
        <v>126</v>
      </c>
      <c r="D10" s="5" t="s">
        <v>127</v>
      </c>
      <c r="E10" s="5" t="s">
        <v>128</v>
      </c>
    </row>
    <row r="11" customFormat="false" ht="64.5" hidden="false" customHeight="true" outlineLevel="0" collapsed="false">
      <c r="A11" s="4" t="s">
        <v>129</v>
      </c>
      <c r="B11" s="10" t="s">
        <v>130</v>
      </c>
      <c r="C11" s="4" t="s">
        <v>126</v>
      </c>
      <c r="D11" s="4" t="s">
        <v>131</v>
      </c>
      <c r="E11" s="4" t="s">
        <v>126</v>
      </c>
    </row>
    <row r="12" customFormat="false" ht="39" hidden="false" customHeight="true" outlineLevel="0" collapsed="false">
      <c r="A12" s="5" t="s">
        <v>132</v>
      </c>
      <c r="B12" s="9" t="n">
        <v>0.065</v>
      </c>
      <c r="C12" s="5" t="s">
        <v>112</v>
      </c>
      <c r="D12" s="5" t="s">
        <v>133</v>
      </c>
      <c r="E12" s="5" t="s">
        <v>134</v>
      </c>
    </row>
    <row r="13" customFormat="false" ht="25.5" hidden="false" customHeight="true" outlineLevel="0" collapsed="false">
      <c r="A13" s="4" t="s">
        <v>135</v>
      </c>
      <c r="B13" s="8" t="n">
        <v>0.06</v>
      </c>
      <c r="C13" s="4" t="s">
        <v>112</v>
      </c>
      <c r="D13" s="4" t="s">
        <v>136</v>
      </c>
      <c r="E13" s="4" t="s">
        <v>137</v>
      </c>
    </row>
    <row r="14" customFormat="false" ht="25.5" hidden="false" customHeight="true" outlineLevel="0" collapsed="false">
      <c r="A14" s="5" t="s">
        <v>138</v>
      </c>
      <c r="B14" s="9" t="n">
        <v>0.08</v>
      </c>
      <c r="C14" s="5" t="s">
        <v>112</v>
      </c>
      <c r="D14" s="5" t="s">
        <v>139</v>
      </c>
      <c r="E14" s="5" t="s">
        <v>140</v>
      </c>
    </row>
    <row r="15" customFormat="false" ht="25.5" hidden="false" customHeight="true" outlineLevel="0" collapsed="false">
      <c r="A15" s="4" t="s">
        <v>141</v>
      </c>
      <c r="B15" s="8" t="n">
        <v>0.09</v>
      </c>
      <c r="C15" s="4" t="s">
        <v>112</v>
      </c>
      <c r="D15" s="4" t="s">
        <v>142</v>
      </c>
      <c r="E15" s="4" t="s">
        <v>143</v>
      </c>
    </row>
    <row r="16" customFormat="false" ht="15" hidden="false" customHeight="true" outlineLevel="0" collapsed="false">
      <c r="A16" s="5" t="s">
        <v>144</v>
      </c>
      <c r="B16" s="9" t="n">
        <v>0.06</v>
      </c>
      <c r="C16" s="5" t="s">
        <v>112</v>
      </c>
      <c r="D16" s="5" t="s">
        <v>145</v>
      </c>
      <c r="E16" s="5" t="s">
        <v>146</v>
      </c>
    </row>
    <row r="17" customFormat="false" ht="15" hidden="false" customHeight="true" outlineLevel="0" collapsed="false">
      <c r="A17" s="4" t="s">
        <v>147</v>
      </c>
      <c r="B17" s="8" t="n">
        <v>0.07</v>
      </c>
      <c r="C17" s="4" t="s">
        <v>112</v>
      </c>
      <c r="D17" s="4" t="s">
        <v>148</v>
      </c>
      <c r="E17" s="4" t="s">
        <v>149</v>
      </c>
    </row>
    <row r="18" customFormat="false" ht="90" hidden="false" customHeight="true" outlineLevel="0" collapsed="false">
      <c r="A18" s="5" t="s">
        <v>150</v>
      </c>
      <c r="B18" s="10" t="s">
        <v>130</v>
      </c>
      <c r="C18" s="5" t="s">
        <v>126</v>
      </c>
      <c r="D18" s="5" t="s">
        <v>151</v>
      </c>
      <c r="E18" s="5" t="s">
        <v>126</v>
      </c>
    </row>
    <row r="19" customFormat="false" ht="51.75" hidden="false" customHeight="true" outlineLevel="0" collapsed="false">
      <c r="A19" s="4" t="s">
        <v>152</v>
      </c>
      <c r="B19" s="8" t="n">
        <v>0</v>
      </c>
      <c r="C19" s="4" t="s">
        <v>112</v>
      </c>
      <c r="D19" s="4" t="s">
        <v>153</v>
      </c>
      <c r="E19" s="4" t="s">
        <v>154</v>
      </c>
    </row>
    <row r="20" customFormat="false" ht="15" hidden="false" customHeight="true" outlineLevel="0" collapsed="false">
      <c r="A20" s="5" t="s">
        <v>155</v>
      </c>
      <c r="B20" s="9" t="n">
        <v>0.01</v>
      </c>
      <c r="C20" s="5" t="s">
        <v>156</v>
      </c>
      <c r="D20" s="5" t="s">
        <v>157</v>
      </c>
      <c r="E20" s="5" t="s">
        <v>117</v>
      </c>
    </row>
    <row r="21" customFormat="false" ht="15" hidden="false" customHeight="true" outlineLevel="0" collapsed="false">
      <c r="A21" s="4" t="s">
        <v>158</v>
      </c>
      <c r="B21" s="8" t="n">
        <v>0.03</v>
      </c>
      <c r="C21" s="4" t="s">
        <v>156</v>
      </c>
      <c r="D21" s="4" t="s">
        <v>157</v>
      </c>
      <c r="E21" s="4" t="s">
        <v>117</v>
      </c>
    </row>
    <row r="22" customFormat="false" ht="15" hidden="false" customHeight="true" outlineLevel="0" collapsed="false">
      <c r="A22" s="5" t="s">
        <v>159</v>
      </c>
      <c r="B22" s="9" t="n">
        <v>0.14</v>
      </c>
      <c r="C22" s="5" t="s">
        <v>156</v>
      </c>
      <c r="D22" s="5" t="s">
        <v>157</v>
      </c>
      <c r="E22" s="5" t="s">
        <v>117</v>
      </c>
    </row>
    <row r="23" customFormat="false" ht="15" hidden="false" customHeight="true" outlineLevel="0" collapsed="false">
      <c r="A23" s="4" t="s">
        <v>160</v>
      </c>
      <c r="B23" s="8" t="n">
        <v>0.17</v>
      </c>
      <c r="C23" s="4" t="s">
        <v>156</v>
      </c>
      <c r="D23" s="4" t="s">
        <v>157</v>
      </c>
      <c r="E23" s="4" t="s">
        <v>117</v>
      </c>
    </row>
    <row r="24" customFormat="false" ht="15" hidden="false" customHeight="true" outlineLevel="0" collapsed="false">
      <c r="A24" s="5" t="s">
        <v>161</v>
      </c>
      <c r="B24" s="9" t="n">
        <v>0.22</v>
      </c>
      <c r="C24" s="5" t="s">
        <v>156</v>
      </c>
      <c r="D24" s="5" t="s">
        <v>157</v>
      </c>
      <c r="E24" s="5" t="s">
        <v>117</v>
      </c>
    </row>
    <row r="25" customFormat="false" ht="51.75" hidden="false" customHeight="true" outlineLevel="0" collapsed="false">
      <c r="A25" s="4" t="s">
        <v>162</v>
      </c>
      <c r="B25" s="11" t="s">
        <v>163</v>
      </c>
      <c r="C25" s="4" t="s">
        <v>126</v>
      </c>
      <c r="D25" s="4" t="s">
        <v>164</v>
      </c>
      <c r="E25" s="4" t="s">
        <v>165</v>
      </c>
    </row>
    <row r="26" customFormat="false" ht="78" hidden="false" customHeight="true" outlineLevel="0" collapsed="false">
      <c r="A26" s="5" t="s">
        <v>166</v>
      </c>
      <c r="B26" s="12" t="n">
        <v>60</v>
      </c>
      <c r="C26" s="5" t="s">
        <v>167</v>
      </c>
      <c r="D26" s="5" t="s">
        <v>168</v>
      </c>
      <c r="E26" s="5" t="s">
        <v>169</v>
      </c>
    </row>
    <row r="27" customFormat="false" ht="25.5" hidden="false" customHeight="true" outlineLevel="0" collapsed="false">
      <c r="A27" s="4" t="s">
        <v>170</v>
      </c>
      <c r="B27" s="13" t="n">
        <v>4</v>
      </c>
      <c r="C27" s="4" t="s">
        <v>171</v>
      </c>
      <c r="D27" s="4" t="s">
        <v>172</v>
      </c>
      <c r="E27" s="4" t="s">
        <v>173</v>
      </c>
    </row>
    <row r="28" customFormat="false" ht="25.5" hidden="false" customHeight="true" outlineLevel="0" collapsed="false">
      <c r="A28" s="5" t="s">
        <v>174</v>
      </c>
      <c r="B28" s="14" t="n">
        <v>8</v>
      </c>
      <c r="C28" s="5" t="s">
        <v>171</v>
      </c>
      <c r="D28" s="5" t="s">
        <v>175</v>
      </c>
      <c r="E28" s="5" t="s">
        <v>173</v>
      </c>
    </row>
    <row r="29" customFormat="false" ht="25.5" hidden="false" customHeight="true" outlineLevel="0" collapsed="false">
      <c r="A29" s="4" t="s">
        <v>176</v>
      </c>
      <c r="B29" s="13" t="n">
        <v>8</v>
      </c>
      <c r="C29" s="4" t="s">
        <v>171</v>
      </c>
      <c r="D29" s="4" t="s">
        <v>177</v>
      </c>
      <c r="E29" s="4" t="s">
        <v>173</v>
      </c>
    </row>
    <row r="30" customFormat="false" ht="25.5" hidden="false" customHeight="true" outlineLevel="0" collapsed="false">
      <c r="A30" s="5" t="s">
        <v>178</v>
      </c>
      <c r="B30" s="14" t="n">
        <v>3</v>
      </c>
      <c r="C30" s="5" t="s">
        <v>171</v>
      </c>
      <c r="D30" s="5" t="s">
        <v>179</v>
      </c>
      <c r="E30" s="5" t="s">
        <v>173</v>
      </c>
    </row>
    <row r="31" customFormat="false" ht="15" hidden="false" customHeight="true" outlineLevel="0" collapsed="false">
      <c r="A31" s="4" t="s">
        <v>180</v>
      </c>
      <c r="B31" s="13" t="n">
        <v>6</v>
      </c>
      <c r="C31" s="4" t="s">
        <v>171</v>
      </c>
      <c r="D31" s="4" t="s">
        <v>181</v>
      </c>
      <c r="E31" s="4" t="s">
        <v>173</v>
      </c>
    </row>
    <row r="32" customFormat="false" ht="15" hidden="false" customHeight="true" outlineLevel="0" collapsed="false">
      <c r="A32" s="5" t="s">
        <v>182</v>
      </c>
      <c r="B32" s="14" t="n">
        <v>6</v>
      </c>
      <c r="C32" s="5" t="s">
        <v>171</v>
      </c>
      <c r="D32" s="5" t="s">
        <v>183</v>
      </c>
      <c r="E32" s="5" t="s">
        <v>173</v>
      </c>
    </row>
    <row r="33" customFormat="false" ht="25.5" hidden="false" customHeight="true" outlineLevel="0" collapsed="false">
      <c r="A33" s="4" t="s">
        <v>184</v>
      </c>
      <c r="B33" s="13" t="n">
        <v>1</v>
      </c>
      <c r="C33" s="4" t="s">
        <v>171</v>
      </c>
      <c r="D33" s="4" t="s">
        <v>185</v>
      </c>
      <c r="E33" s="4" t="s">
        <v>186</v>
      </c>
    </row>
    <row r="34" customFormat="false" ht="15" hidden="false" customHeight="true" outlineLevel="0" collapsed="false">
      <c r="A34" s="5" t="s">
        <v>187</v>
      </c>
      <c r="B34" s="14" t="n">
        <v>12</v>
      </c>
      <c r="C34" s="5" t="s">
        <v>171</v>
      </c>
      <c r="D34" s="5" t="s">
        <v>188</v>
      </c>
      <c r="E34" s="5" t="s">
        <v>189</v>
      </c>
    </row>
    <row r="35" customFormat="false" ht="39" hidden="false" customHeight="true" outlineLevel="0" collapsed="false">
      <c r="A35" s="4" t="s">
        <v>190</v>
      </c>
      <c r="B35" s="8" t="n">
        <v>0.4</v>
      </c>
      <c r="C35" s="4" t="s">
        <v>191</v>
      </c>
      <c r="D35" s="4" t="s">
        <v>192</v>
      </c>
      <c r="E35" s="4" t="s">
        <v>193</v>
      </c>
    </row>
    <row r="36" customFormat="false" ht="51.75" hidden="false" customHeight="true" outlineLevel="0" collapsed="false">
      <c r="A36" s="5" t="s">
        <v>194</v>
      </c>
      <c r="B36" s="9" t="n">
        <v>0.12</v>
      </c>
      <c r="C36" s="5" t="s">
        <v>112</v>
      </c>
      <c r="D36" s="5" t="s">
        <v>195</v>
      </c>
      <c r="E36" s="5" t="s">
        <v>196</v>
      </c>
    </row>
    <row r="37" customFormat="false" ht="51.75" hidden="false" customHeight="true" outlineLevel="0" collapsed="false">
      <c r="A37" s="4" t="s">
        <v>197</v>
      </c>
      <c r="B37" s="13" t="n">
        <v>0.5</v>
      </c>
      <c r="C37" s="4" t="s">
        <v>198</v>
      </c>
      <c r="D37" s="4" t="s">
        <v>199</v>
      </c>
      <c r="E37" s="4" t="s">
        <v>200</v>
      </c>
    </row>
    <row r="38" customFormat="false" ht="25.5" hidden="false" customHeight="true" outlineLevel="0" collapsed="false">
      <c r="A38" s="5" t="s">
        <v>201</v>
      </c>
      <c r="B38" s="9" t="n">
        <v>0.01</v>
      </c>
      <c r="C38" s="5" t="s">
        <v>112</v>
      </c>
      <c r="D38" s="5" t="s">
        <v>202</v>
      </c>
      <c r="E38" s="5" t="s">
        <v>203</v>
      </c>
    </row>
    <row r="39" customFormat="false" ht="15" hidden="false" customHeight="true" outlineLevel="0" collapsed="false">
      <c r="A39" s="4" t="s">
        <v>204</v>
      </c>
      <c r="B39" s="13" t="n">
        <v>25</v>
      </c>
      <c r="C39" s="4" t="s">
        <v>205</v>
      </c>
      <c r="D39" s="4" t="s">
        <v>206</v>
      </c>
      <c r="E39" s="4" t="s">
        <v>207</v>
      </c>
    </row>
    <row r="40" customFormat="false" ht="25.5" hidden="false" customHeight="true" outlineLevel="0" collapsed="false">
      <c r="A40" s="5" t="s">
        <v>208</v>
      </c>
      <c r="B40" s="14" t="n">
        <v>1</v>
      </c>
      <c r="C40" s="5" t="s">
        <v>167</v>
      </c>
      <c r="D40" s="5" t="s">
        <v>209</v>
      </c>
      <c r="E40" s="5" t="s">
        <v>210</v>
      </c>
    </row>
    <row r="41" customFormat="false" ht="15" hidden="false" customHeight="true" outlineLevel="0" collapsed="false">
      <c r="A41" s="4" t="s">
        <v>211</v>
      </c>
      <c r="B41" s="13" t="n">
        <v>3</v>
      </c>
      <c r="C41" s="4" t="s">
        <v>167</v>
      </c>
      <c r="D41" s="4" t="s">
        <v>212</v>
      </c>
      <c r="E41" s="4" t="s">
        <v>213</v>
      </c>
    </row>
    <row r="42" customFormat="false" ht="25.5" hidden="false" customHeight="true" outlineLevel="0" collapsed="false">
      <c r="A42" s="5" t="s">
        <v>214</v>
      </c>
      <c r="B42" s="14" t="n">
        <v>7</v>
      </c>
      <c r="C42" s="5" t="s">
        <v>167</v>
      </c>
      <c r="D42" s="5" t="s">
        <v>215</v>
      </c>
      <c r="E42" s="5" t="s">
        <v>216</v>
      </c>
    </row>
    <row r="43" customFormat="false" ht="25.5" hidden="false" customHeight="true" outlineLevel="0" collapsed="false">
      <c r="A43" s="4" t="s">
        <v>217</v>
      </c>
      <c r="B43" s="13" t="n">
        <v>4</v>
      </c>
      <c r="C43" s="4" t="s">
        <v>218</v>
      </c>
      <c r="D43" s="4" t="s">
        <v>219</v>
      </c>
      <c r="E43" s="4" t="s">
        <v>220</v>
      </c>
    </row>
    <row r="44" customFormat="false" ht="25.5" hidden="false" customHeight="true" outlineLevel="0" collapsed="false">
      <c r="A44" s="5" t="s">
        <v>221</v>
      </c>
      <c r="B44" s="14" t="n">
        <v>7</v>
      </c>
      <c r="C44" s="5" t="s">
        <v>218</v>
      </c>
      <c r="D44" s="5" t="s">
        <v>222</v>
      </c>
      <c r="E44" s="5" t="s">
        <v>223</v>
      </c>
    </row>
    <row r="45" customFormat="false" ht="25.5" hidden="false" customHeight="true" outlineLevel="0" collapsed="false">
      <c r="A45" s="4" t="s">
        <v>224</v>
      </c>
      <c r="B45" s="13" t="n">
        <v>2000</v>
      </c>
      <c r="C45" s="4" t="s">
        <v>225</v>
      </c>
      <c r="D45" s="4" t="s">
        <v>226</v>
      </c>
      <c r="E45" s="4" t="s">
        <v>227</v>
      </c>
    </row>
    <row r="46" customFormat="false" ht="39" hidden="false" customHeight="true" outlineLevel="0" collapsed="false">
      <c r="A46" s="5" t="s">
        <v>228</v>
      </c>
      <c r="B46" s="14" t="n">
        <v>42</v>
      </c>
      <c r="C46" s="5" t="s">
        <v>126</v>
      </c>
      <c r="D46" s="5" t="s">
        <v>229</v>
      </c>
      <c r="E46" s="5" t="s">
        <v>230</v>
      </c>
    </row>
    <row r="48" customFormat="false" ht="19.5" hidden="false" customHeight="true" outlineLevel="0" collapsed="false">
      <c r="A48" s="15" t="s">
        <v>231</v>
      </c>
      <c r="B48" s="15"/>
      <c r="C48" s="15"/>
      <c r="D48" s="15"/>
      <c r="E48" s="15"/>
    </row>
    <row r="49" customFormat="false" ht="23.85" hidden="false" customHeight="false" outlineLevel="0" collapsed="false">
      <c r="A49" s="16"/>
      <c r="B49" s="3" t="s">
        <v>232</v>
      </c>
      <c r="C49" s="3" t="s">
        <v>233</v>
      </c>
      <c r="D49" s="3" t="s">
        <v>234</v>
      </c>
      <c r="E49" s="3" t="s">
        <v>235</v>
      </c>
      <c r="F49" s="3" t="s">
        <v>236</v>
      </c>
    </row>
    <row r="50" customFormat="false" ht="15" hidden="false" customHeight="false" outlineLevel="0" collapsed="false">
      <c r="A50" s="17" t="s">
        <v>232</v>
      </c>
      <c r="B50" s="18" t="n">
        <v>1</v>
      </c>
      <c r="C50" s="18" t="n">
        <v>0.5</v>
      </c>
      <c r="D50" s="18" t="n">
        <v>0</v>
      </c>
      <c r="E50" s="18" t="n">
        <v>0</v>
      </c>
      <c r="F50" s="18" t="n">
        <v>0</v>
      </c>
    </row>
    <row r="51" customFormat="false" ht="15" hidden="false" customHeight="false" outlineLevel="0" collapsed="false">
      <c r="A51" s="19" t="s">
        <v>233</v>
      </c>
      <c r="B51" s="20" t="n">
        <v>0.5</v>
      </c>
      <c r="C51" s="20" t="n">
        <v>1</v>
      </c>
      <c r="D51" s="20" t="n">
        <v>0.1</v>
      </c>
      <c r="E51" s="20" t="n">
        <v>0.1</v>
      </c>
      <c r="F51" s="20" t="n">
        <v>0.05</v>
      </c>
    </row>
    <row r="52" customFormat="false" ht="15" hidden="false" customHeight="false" outlineLevel="0" collapsed="false">
      <c r="A52" s="17" t="s">
        <v>234</v>
      </c>
      <c r="B52" s="18" t="n">
        <v>0</v>
      </c>
      <c r="C52" s="18" t="n">
        <v>0.1</v>
      </c>
      <c r="D52" s="18" t="n">
        <v>1</v>
      </c>
      <c r="E52" s="18" t="n">
        <v>0.05</v>
      </c>
      <c r="F52" s="18" t="n">
        <v>0.05</v>
      </c>
    </row>
    <row r="53" customFormat="false" ht="15" hidden="false" customHeight="false" outlineLevel="0" collapsed="false">
      <c r="A53" s="19" t="s">
        <v>235</v>
      </c>
      <c r="B53" s="20" t="n">
        <v>0</v>
      </c>
      <c r="C53" s="20" t="n">
        <v>0.1</v>
      </c>
      <c r="D53" s="20" t="n">
        <v>0.05</v>
      </c>
      <c r="E53" s="20" t="n">
        <v>1</v>
      </c>
      <c r="F53" s="20" t="n">
        <v>0.85</v>
      </c>
    </row>
    <row r="54" customFormat="false" ht="15" hidden="false" customHeight="false" outlineLevel="0" collapsed="false">
      <c r="A54" s="17" t="s">
        <v>236</v>
      </c>
      <c r="B54" s="18" t="n">
        <v>0</v>
      </c>
      <c r="C54" s="18" t="n">
        <v>0.05</v>
      </c>
      <c r="D54" s="18" t="n">
        <v>0.05</v>
      </c>
      <c r="E54" s="18" t="n">
        <v>0.85</v>
      </c>
      <c r="F54" s="18" t="n">
        <v>1</v>
      </c>
    </row>
  </sheetData>
  <mergeCells count="3">
    <mergeCell ref="A1:E1"/>
    <mergeCell ref="A2:E2"/>
    <mergeCell ref="A48:E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0"/>
    <col collapsed="false" customWidth="true" hidden="false" outlineLevel="0" max="4" min="3" style="0" width="26"/>
  </cols>
  <sheetData>
    <row r="1" customFormat="false" ht="21.75" hidden="false" customHeight="true" outlineLevel="0" collapsed="false">
      <c r="A1" s="1" t="s">
        <v>237</v>
      </c>
      <c r="B1" s="1"/>
      <c r="C1" s="1"/>
      <c r="D1" s="1"/>
      <c r="E1" s="1"/>
    </row>
    <row r="2" customFormat="false" ht="15.75" hidden="false" customHeight="true" outlineLevel="0" collapsed="false">
      <c r="A2" s="2" t="s">
        <v>238</v>
      </c>
      <c r="B2" s="2"/>
      <c r="C2" s="2"/>
      <c r="D2" s="2"/>
      <c r="E2" s="2"/>
    </row>
    <row r="4" customFormat="false" ht="30" hidden="false" customHeight="true" outlineLevel="0" collapsed="false">
      <c r="A4" s="3" t="s">
        <v>239</v>
      </c>
      <c r="B4" s="3" t="s">
        <v>240</v>
      </c>
      <c r="C4" s="3" t="s">
        <v>241</v>
      </c>
      <c r="D4" s="3" t="s">
        <v>242</v>
      </c>
    </row>
    <row r="5" customFormat="false" ht="30" hidden="false" customHeight="true" outlineLevel="0" collapsed="false">
      <c r="A5" s="17" t="s">
        <v>243</v>
      </c>
      <c r="B5" s="4" t="s">
        <v>244</v>
      </c>
      <c r="C5" s="4" t="s">
        <v>245</v>
      </c>
      <c r="D5" s="21" t="s">
        <v>246</v>
      </c>
    </row>
    <row r="6" customFormat="false" ht="79.5" hidden="false" customHeight="true" outlineLevel="0" collapsed="false">
      <c r="A6" s="19" t="s">
        <v>247</v>
      </c>
      <c r="B6" s="5" t="s">
        <v>248</v>
      </c>
      <c r="C6" s="5" t="s">
        <v>249</v>
      </c>
      <c r="D6" s="22" t="s">
        <v>250</v>
      </c>
    </row>
    <row r="7" customFormat="false" ht="60" hidden="false" customHeight="true" outlineLevel="0" collapsed="false">
      <c r="A7" s="17" t="s">
        <v>251</v>
      </c>
      <c r="B7" s="4" t="s">
        <v>252</v>
      </c>
      <c r="C7" s="4" t="s">
        <v>253</v>
      </c>
      <c r="D7" s="21" t="s">
        <v>254</v>
      </c>
    </row>
    <row r="8" customFormat="false" ht="60" hidden="false" customHeight="true" outlineLevel="0" collapsed="false">
      <c r="A8" s="19" t="s">
        <v>255</v>
      </c>
      <c r="B8" s="5" t="s">
        <v>256</v>
      </c>
      <c r="C8" s="5" t="s">
        <v>257</v>
      </c>
      <c r="D8" s="22" t="s">
        <v>258</v>
      </c>
    </row>
    <row r="9" customFormat="false" ht="45" hidden="false" customHeight="true" outlineLevel="0" collapsed="false">
      <c r="A9" s="17" t="s">
        <v>259</v>
      </c>
      <c r="B9" s="7" t="s">
        <v>260</v>
      </c>
      <c r="C9" s="4" t="s">
        <v>261</v>
      </c>
      <c r="D9" s="7" t="s">
        <v>262</v>
      </c>
    </row>
    <row r="10" customFormat="false" ht="45" hidden="false" customHeight="true" outlineLevel="0" collapsed="false">
      <c r="A10" s="19" t="s">
        <v>263</v>
      </c>
      <c r="B10" s="5" t="s">
        <v>264</v>
      </c>
      <c r="C10" s="5" t="s">
        <v>265</v>
      </c>
      <c r="D10" s="22" t="s">
        <v>266</v>
      </c>
    </row>
    <row r="12" customFormat="false" ht="19.5" hidden="false" customHeight="true" outlineLevel="0" collapsed="false">
      <c r="A12" s="15" t="s">
        <v>267</v>
      </c>
      <c r="B12" s="15"/>
      <c r="C12" s="15"/>
      <c r="D12" s="15"/>
    </row>
    <row r="13" customFormat="false" ht="15" hidden="false" customHeight="false" outlineLevel="0" collapsed="false">
      <c r="A13" s="4" t="s">
        <v>268</v>
      </c>
      <c r="B13" s="23" t="n">
        <v>100000</v>
      </c>
      <c r="C13" s="4" t="s">
        <v>269</v>
      </c>
      <c r="D13" s="8" t="n">
        <v>0.1</v>
      </c>
    </row>
    <row r="14" customFormat="false" ht="15" hidden="false" customHeight="false" outlineLevel="0" collapsed="false">
      <c r="A14" s="4" t="s">
        <v>270</v>
      </c>
      <c r="B14" s="24" t="n">
        <v>6</v>
      </c>
      <c r="C14" s="17" t="s">
        <v>271</v>
      </c>
      <c r="D14" s="25" t="n">
        <f aca="false">B13*(1+D13)^B14</f>
        <v>177156.1</v>
      </c>
    </row>
    <row r="16" customFormat="false" ht="19.5" hidden="false" customHeight="true" outlineLevel="0" collapsed="false">
      <c r="A16" s="15" t="s">
        <v>272</v>
      </c>
      <c r="B16" s="15"/>
      <c r="C16" s="15"/>
      <c r="D16" s="15"/>
    </row>
    <row r="17" customFormat="false" ht="15" hidden="false" customHeight="false" outlineLevel="0" collapsed="false">
      <c r="A17" s="4" t="s">
        <v>273</v>
      </c>
      <c r="B17" s="23" t="n">
        <v>10000</v>
      </c>
      <c r="C17" s="4" t="s">
        <v>274</v>
      </c>
      <c r="D17" s="26" t="n">
        <v>0.0927</v>
      </c>
    </row>
    <row r="18" customFormat="false" ht="23.85" hidden="false" customHeight="false" outlineLevel="0" collapsed="false">
      <c r="A18" s="4" t="s">
        <v>275</v>
      </c>
      <c r="B18" s="8" t="n">
        <v>0</v>
      </c>
      <c r="C18" s="4" t="s">
        <v>276</v>
      </c>
      <c r="D18" s="27" t="n">
        <f aca="false">(1+D17)^(1/12)-1</f>
        <v>0.00741499741324669</v>
      </c>
    </row>
    <row r="19" customFormat="false" ht="30" hidden="false" customHeight="true" outlineLevel="0" collapsed="false">
      <c r="A19" s="3" t="s">
        <v>277</v>
      </c>
      <c r="B19" s="3" t="s">
        <v>278</v>
      </c>
      <c r="C19" s="3" t="s">
        <v>279</v>
      </c>
    </row>
    <row r="20" customFormat="false" ht="15" hidden="false" customHeight="false" outlineLevel="0" collapsed="false">
      <c r="A20" s="28" t="n">
        <v>1</v>
      </c>
      <c r="B20" s="29" t="n">
        <f aca="false">$B$17*(1+$B$18)^(INT((A20-1)/12))</f>
        <v>10000</v>
      </c>
      <c r="C20" s="29" t="n">
        <f aca="false">B20*(1+$D$18)</f>
        <v>10074.1499741325</v>
      </c>
    </row>
    <row r="21" customFormat="false" ht="15" hidden="false" customHeight="false" outlineLevel="0" collapsed="false">
      <c r="A21" s="30" t="n">
        <v>2</v>
      </c>
      <c r="B21" s="25" t="n">
        <f aca="false">$B$17*(1+$B$18)^(INT((A21-1)/12))</f>
        <v>10000</v>
      </c>
      <c r="C21" s="25" t="n">
        <f aca="false">(C20+B21)*(1+$D$18)</f>
        <v>20222.9997442638</v>
      </c>
    </row>
    <row r="22" customFormat="false" ht="15" hidden="false" customHeight="false" outlineLevel="0" collapsed="false">
      <c r="A22" s="28" t="n">
        <v>3</v>
      </c>
      <c r="B22" s="29" t="n">
        <f aca="false">$B$17*(1+$B$18)^(INT((A22-1)/12))</f>
        <v>10000</v>
      </c>
      <c r="C22" s="29" t="n">
        <f aca="false">(C21+B22)*(1+$D$18)</f>
        <v>30447.1032091881</v>
      </c>
    </row>
    <row r="23" customFormat="false" ht="15" hidden="false" customHeight="false" outlineLevel="0" collapsed="false">
      <c r="A23" s="30" t="n">
        <v>4</v>
      </c>
      <c r="B23" s="25" t="n">
        <f aca="false">$B$17*(1+$B$18)^(INT((A23-1)/12))</f>
        <v>10000</v>
      </c>
      <c r="C23" s="25" t="n">
        <f aca="false">(C22+B23)*(1+$D$18)</f>
        <v>40747.0183748575</v>
      </c>
    </row>
    <row r="24" customFormat="false" ht="15" hidden="false" customHeight="false" outlineLevel="0" collapsed="false">
      <c r="A24" s="28" t="n">
        <v>5</v>
      </c>
      <c r="B24" s="29" t="n">
        <f aca="false">$B$17*(1+$B$18)^(INT((A24-1)/12))</f>
        <v>10000</v>
      </c>
      <c r="C24" s="29" t="n">
        <f aca="false">(C23+B24)*(1+$D$18)</f>
        <v>51123.3073848371</v>
      </c>
    </row>
    <row r="25" customFormat="false" ht="15" hidden="false" customHeight="false" outlineLevel="0" collapsed="false">
      <c r="A25" s="30" t="n">
        <v>6</v>
      </c>
      <c r="B25" s="25" t="n">
        <f aca="false">$B$17*(1+$B$18)^(INT((A25-1)/12))</f>
        <v>10000</v>
      </c>
      <c r="C25" s="25" t="n">
        <f aca="false">(C24+B25)*(1+$D$18)</f>
        <v>61576.5365509847</v>
      </c>
    </row>
    <row r="26" customFormat="false" ht="15" hidden="false" customHeight="false" outlineLevel="0" collapsed="false">
      <c r="A26" s="28" t="n">
        <v>7</v>
      </c>
      <c r="B26" s="29" t="n">
        <f aca="false">$B$17*(1+$B$18)^(INT((A26-1)/12))</f>
        <v>10000</v>
      </c>
      <c r="C26" s="29" t="n">
        <f aca="false">(C25+B26)*(1+$D$18)</f>
        <v>72107.2763843594</v>
      </c>
    </row>
    <row r="27" customFormat="false" ht="15" hidden="false" customHeight="false" outlineLevel="0" collapsed="false">
      <c r="A27" s="30" t="n">
        <v>8</v>
      </c>
      <c r="B27" s="25" t="n">
        <f aca="false">$B$17*(1+$B$18)^(INT((A27-1)/12))</f>
        <v>10000</v>
      </c>
      <c r="C27" s="25" t="n">
        <f aca="false">(C26+B27)*(1+$D$18)</f>
        <v>82716.1016263582</v>
      </c>
    </row>
    <row r="28" customFormat="false" ht="15" hidden="false" customHeight="false" outlineLevel="0" collapsed="false">
      <c r="A28" s="28" t="n">
        <v>9</v>
      </c>
      <c r="B28" s="29" t="n">
        <f aca="false">$B$17*(1+$B$18)^(INT((A28-1)/12))</f>
        <v>10000</v>
      </c>
      <c r="C28" s="29" t="n">
        <f aca="false">(C27+B28)*(1+$D$18)</f>
        <v>93403.5912800839</v>
      </c>
    </row>
    <row r="29" customFormat="false" ht="15" hidden="false" customHeight="false" outlineLevel="0" collapsed="false">
      <c r="A29" s="30" t="n">
        <v>10</v>
      </c>
      <c r="B29" s="25" t="n">
        <f aca="false">$B$17*(1+$B$18)^(INT((A29-1)/12))</f>
        <v>10000</v>
      </c>
      <c r="C29" s="25" t="n">
        <f aca="false">(C28+B29)*(1+$D$18)</f>
        <v>104170.328641946</v>
      </c>
    </row>
    <row r="30" customFormat="false" ht="15" hidden="false" customHeight="false" outlineLevel="0" collapsed="false">
      <c r="A30" s="28" t="n">
        <v>11</v>
      </c>
      <c r="B30" s="29" t="n">
        <f aca="false">$B$17*(1+$B$18)^(INT((A30-1)/12))</f>
        <v>10000</v>
      </c>
      <c r="C30" s="29" t="n">
        <f aca="false">(C29+B30)*(1+$D$18)</f>
        <v>115016.901333496</v>
      </c>
    </row>
    <row r="31" customFormat="false" ht="15" hidden="false" customHeight="false" outlineLevel="0" collapsed="false">
      <c r="A31" s="30" t="n">
        <v>12</v>
      </c>
      <c r="B31" s="25" t="n">
        <f aca="false">$B$17*(1+$B$18)^(INT((A31-1)/12))</f>
        <v>10000</v>
      </c>
      <c r="C31" s="31" t="n">
        <f aca="false">(C30+B31)*(1+$D$18)</f>
        <v>125943.901333496</v>
      </c>
    </row>
    <row r="32" customFormat="false" ht="15" hidden="false" customHeight="false" outlineLevel="0" collapsed="false">
      <c r="A32" s="32" t="s">
        <v>280</v>
      </c>
      <c r="B32" s="32"/>
      <c r="C32" s="32"/>
    </row>
    <row r="34" customFormat="false" ht="19.5" hidden="false" customHeight="true" outlineLevel="0" collapsed="false">
      <c r="A34" s="15" t="s">
        <v>281</v>
      </c>
      <c r="B34" s="15"/>
      <c r="C34" s="15"/>
      <c r="D34" s="15"/>
    </row>
    <row r="35" customFormat="false" ht="15" hidden="false" customHeight="false" outlineLevel="0" collapsed="false">
      <c r="A35" s="4" t="s">
        <v>282</v>
      </c>
      <c r="B35" s="23" t="n">
        <v>2127778.67</v>
      </c>
      <c r="C35" s="4" t="s">
        <v>283</v>
      </c>
      <c r="D35" s="24" t="n">
        <v>72</v>
      </c>
    </row>
    <row r="36" customFormat="false" ht="15" hidden="false" customHeight="false" outlineLevel="0" collapsed="false">
      <c r="A36" s="4" t="s">
        <v>274</v>
      </c>
      <c r="B36" s="26" t="n">
        <v>0.0927</v>
      </c>
      <c r="C36" s="4" t="s">
        <v>284</v>
      </c>
      <c r="D36" s="27" t="n">
        <f aca="false">(1+B36)^(1/12)-1</f>
        <v>0.00741499741324669</v>
      </c>
    </row>
    <row r="37" customFormat="false" ht="15" hidden="false" customHeight="false" outlineLevel="0" collapsed="false">
      <c r="A37" s="17" t="s">
        <v>285</v>
      </c>
      <c r="B37" s="25" t="n">
        <f aca="false">B35*D36/((1+D36)^D35-1)</f>
        <v>22469.2499325902</v>
      </c>
    </row>
    <row r="38" customFormat="false" ht="15" hidden="false" customHeight="false" outlineLevel="0" collapsed="false">
      <c r="A38" s="32" t="s">
        <v>286</v>
      </c>
      <c r="B38" s="32"/>
      <c r="C38" s="32"/>
      <c r="D38" s="32"/>
    </row>
    <row r="40" customFormat="false" ht="19.5" hidden="false" customHeight="true" outlineLevel="0" collapsed="false">
      <c r="A40" s="15" t="s">
        <v>287</v>
      </c>
      <c r="B40" s="15"/>
      <c r="C40" s="15"/>
      <c r="D40" s="15"/>
    </row>
    <row r="41" customFormat="false" ht="15" hidden="false" customHeight="false" outlineLevel="0" collapsed="false">
      <c r="A41" s="4" t="s">
        <v>288</v>
      </c>
      <c r="B41" s="23" t="n">
        <v>1500000</v>
      </c>
      <c r="C41" s="4" t="s">
        <v>289</v>
      </c>
      <c r="D41" s="8" t="n">
        <v>0.06</v>
      </c>
    </row>
    <row r="42" customFormat="false" ht="15" hidden="false" customHeight="false" outlineLevel="0" collapsed="false">
      <c r="A42" s="4" t="s">
        <v>290</v>
      </c>
      <c r="B42" s="24" t="n">
        <v>6</v>
      </c>
    </row>
    <row r="43" customFormat="false" ht="15" hidden="false" customHeight="false" outlineLevel="0" collapsed="false">
      <c r="A43" s="17" t="s">
        <v>291</v>
      </c>
      <c r="B43" s="25" t="n">
        <f aca="false">B41*(1+D41)^B42</f>
        <v>2127778.668384</v>
      </c>
    </row>
    <row r="45" customFormat="false" ht="19.5" hidden="false" customHeight="true" outlineLevel="0" collapsed="false">
      <c r="A45" s="15" t="s">
        <v>292</v>
      </c>
      <c r="B45" s="15"/>
      <c r="C45" s="15"/>
      <c r="D45" s="15"/>
    </row>
    <row r="46" customFormat="false" ht="15" hidden="false" customHeight="false" outlineLevel="0" collapsed="false">
      <c r="A46" s="4" t="s">
        <v>293</v>
      </c>
      <c r="B46" s="8" t="n">
        <v>0.111</v>
      </c>
      <c r="C46" s="4" t="s">
        <v>294</v>
      </c>
      <c r="D46" s="8" t="n">
        <v>0.06</v>
      </c>
    </row>
    <row r="47" customFormat="false" ht="35.05" hidden="false" customHeight="false" outlineLevel="0" collapsed="false">
      <c r="A47" s="7" t="s">
        <v>295</v>
      </c>
      <c r="B47" s="33" t="n">
        <f aca="false">(1+B46)/(1+D46)-1</f>
        <v>0.0481132075471697</v>
      </c>
      <c r="C47" s="7" t="s">
        <v>296</v>
      </c>
    </row>
    <row r="49" customFormat="false" ht="19.5" hidden="false" customHeight="true" outlineLevel="0" collapsed="false">
      <c r="A49" s="15" t="s">
        <v>297</v>
      </c>
      <c r="B49" s="15"/>
      <c r="C49" s="15"/>
      <c r="D49" s="15"/>
    </row>
    <row r="50" customFormat="false" ht="30" hidden="false" customHeight="true" outlineLevel="0" collapsed="false">
      <c r="A50" s="3" t="s">
        <v>298</v>
      </c>
      <c r="B50" s="3" t="s">
        <v>299</v>
      </c>
      <c r="C50" s="3" t="s">
        <v>300</v>
      </c>
      <c r="D50" s="3" t="s">
        <v>301</v>
      </c>
    </row>
    <row r="51" customFormat="false" ht="15" hidden="false" customHeight="false" outlineLevel="0" collapsed="false">
      <c r="A51" s="4" t="s">
        <v>235</v>
      </c>
      <c r="B51" s="8" t="n">
        <v>0.5</v>
      </c>
      <c r="C51" s="8" t="n">
        <v>0.12</v>
      </c>
      <c r="D51" s="27" t="n">
        <f aca="false">B51*C51</f>
        <v>0.06</v>
      </c>
    </row>
    <row r="52" customFormat="false" ht="15" hidden="false" customHeight="false" outlineLevel="0" collapsed="false">
      <c r="A52" s="5" t="s">
        <v>233</v>
      </c>
      <c r="B52" s="9" t="n">
        <v>0.3</v>
      </c>
      <c r="C52" s="9" t="n">
        <v>0.07</v>
      </c>
      <c r="D52" s="34" t="n">
        <f aca="false">B52*C52</f>
        <v>0.021</v>
      </c>
    </row>
    <row r="53" customFormat="false" ht="15" hidden="false" customHeight="false" outlineLevel="0" collapsed="false">
      <c r="A53" s="4" t="s">
        <v>234</v>
      </c>
      <c r="B53" s="8" t="n">
        <v>0.1</v>
      </c>
      <c r="C53" s="8" t="n">
        <v>0.08</v>
      </c>
      <c r="D53" s="27" t="n">
        <f aca="false">B53*C53</f>
        <v>0.008</v>
      </c>
    </row>
    <row r="54" customFormat="false" ht="15" hidden="false" customHeight="false" outlineLevel="0" collapsed="false">
      <c r="A54" s="5" t="s">
        <v>232</v>
      </c>
      <c r="B54" s="9" t="n">
        <v>0.1</v>
      </c>
      <c r="C54" s="9" t="n">
        <v>0.06</v>
      </c>
      <c r="D54" s="34" t="n">
        <f aca="false">B54*C54</f>
        <v>0.006</v>
      </c>
    </row>
    <row r="55" customFormat="false" ht="15" hidden="false" customHeight="false" outlineLevel="0" collapsed="false">
      <c r="C55" s="17" t="s">
        <v>302</v>
      </c>
      <c r="D55" s="27" t="n">
        <f aca="false">SUM(D51:D54)</f>
        <v>0.095</v>
      </c>
    </row>
    <row r="57" customFormat="false" ht="15" hidden="false" customHeight="false" outlineLevel="0" collapsed="false">
      <c r="A57" s="32" t="s">
        <v>303</v>
      </c>
      <c r="B57" s="32"/>
      <c r="C57" s="32"/>
      <c r="D57" s="32"/>
    </row>
  </sheetData>
  <mergeCells count="11">
    <mergeCell ref="A1:E1"/>
    <mergeCell ref="A2:E2"/>
    <mergeCell ref="A12:D12"/>
    <mergeCell ref="A16:D16"/>
    <mergeCell ref="A32:C32"/>
    <mergeCell ref="A34:D34"/>
    <mergeCell ref="A38:D38"/>
    <mergeCell ref="A40:D40"/>
    <mergeCell ref="A45:D45"/>
    <mergeCell ref="A49:D49"/>
    <mergeCell ref="A57:D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40"/>
    <col collapsed="false" customWidth="true" hidden="false" outlineLevel="0" max="4" min="4" style="0" width="34"/>
    <col collapsed="false" customWidth="true" hidden="false" outlineLevel="0" max="6" min="5" style="0" width="18"/>
  </cols>
  <sheetData>
    <row r="1" customFormat="false" ht="21.75" hidden="false" customHeight="true" outlineLevel="0" collapsed="false">
      <c r="A1" s="1" t="s">
        <v>304</v>
      </c>
      <c r="B1" s="1"/>
      <c r="C1" s="1"/>
      <c r="D1" s="1"/>
    </row>
    <row r="2" customFormat="false" ht="15.75" hidden="false" customHeight="true" outlineLevel="0" collapsed="false">
      <c r="A2" s="2" t="s">
        <v>305</v>
      </c>
      <c r="B2" s="2"/>
      <c r="C2" s="2"/>
      <c r="D2" s="2"/>
    </row>
    <row r="4" customFormat="false" ht="19.5" hidden="false" customHeight="true" outlineLevel="0" collapsed="false">
      <c r="A4" s="15" t="s">
        <v>306</v>
      </c>
      <c r="B4" s="15"/>
      <c r="C4" s="15"/>
      <c r="D4" s="15"/>
    </row>
    <row r="5" customFormat="false" ht="15" hidden="false" customHeight="false" outlineLevel="0" collapsed="false">
      <c r="A5" s="32" t="s">
        <v>307</v>
      </c>
      <c r="B5" s="32"/>
      <c r="C5" s="32"/>
      <c r="D5" s="32"/>
    </row>
    <row r="6" customFormat="false" ht="15" hidden="false" customHeight="false" outlineLevel="0" collapsed="false">
      <c r="A6" s="32" t="s">
        <v>308</v>
      </c>
      <c r="B6" s="32"/>
      <c r="C6" s="32"/>
      <c r="D6" s="32"/>
    </row>
    <row r="8" customFormat="false" ht="19.5" hidden="false" customHeight="true" outlineLevel="0" collapsed="false">
      <c r="A8" s="15" t="s">
        <v>309</v>
      </c>
      <c r="B8" s="15"/>
      <c r="C8" s="15"/>
      <c r="D8" s="15"/>
    </row>
    <row r="9" customFormat="false" ht="30" hidden="false" customHeight="true" outlineLevel="0" collapsed="false">
      <c r="A9" s="3" t="s">
        <v>298</v>
      </c>
      <c r="B9" s="3" t="s">
        <v>299</v>
      </c>
      <c r="C9" s="3" t="s">
        <v>310</v>
      </c>
    </row>
    <row r="10" customFormat="false" ht="15" hidden="false" customHeight="false" outlineLevel="0" collapsed="false">
      <c r="A10" s="4" t="s">
        <v>232</v>
      </c>
      <c r="B10" s="8" t="n">
        <v>0</v>
      </c>
      <c r="C10" s="35" t="n">
        <f aca="false">'2. Assumptions'!B20</f>
        <v>0.01</v>
      </c>
    </row>
    <row r="11" customFormat="false" ht="15" hidden="false" customHeight="false" outlineLevel="0" collapsed="false">
      <c r="A11" s="5" t="s">
        <v>233</v>
      </c>
      <c r="B11" s="9" t="n">
        <v>0.05</v>
      </c>
      <c r="C11" s="36" t="n">
        <f aca="false">'2. Assumptions'!B21</f>
        <v>0.03</v>
      </c>
    </row>
    <row r="12" customFormat="false" ht="15" hidden="false" customHeight="false" outlineLevel="0" collapsed="false">
      <c r="A12" s="4" t="s">
        <v>234</v>
      </c>
      <c r="B12" s="8" t="n">
        <v>0.05</v>
      </c>
      <c r="C12" s="35" t="n">
        <f aca="false">'2. Assumptions'!B22</f>
        <v>0.14</v>
      </c>
    </row>
    <row r="13" customFormat="false" ht="15" hidden="false" customHeight="false" outlineLevel="0" collapsed="false">
      <c r="A13" s="5" t="s">
        <v>235</v>
      </c>
      <c r="B13" s="9" t="n">
        <v>0.5</v>
      </c>
      <c r="C13" s="36" t="n">
        <f aca="false">'2. Assumptions'!B23</f>
        <v>0.17</v>
      </c>
    </row>
    <row r="14" customFormat="false" ht="15" hidden="false" customHeight="false" outlineLevel="0" collapsed="false">
      <c r="A14" s="4" t="s">
        <v>236</v>
      </c>
      <c r="B14" s="8" t="n">
        <v>0.4</v>
      </c>
      <c r="C14" s="35" t="n">
        <f aca="false">'2. Assumptions'!B24</f>
        <v>0.22</v>
      </c>
    </row>
    <row r="16" customFormat="false" ht="19.5" hidden="false" customHeight="true" outlineLevel="0" collapsed="false">
      <c r="A16" s="15" t="s">
        <v>311</v>
      </c>
      <c r="B16" s="15"/>
      <c r="C16" s="15"/>
      <c r="D16" s="15"/>
    </row>
    <row r="17" customFormat="false" ht="30" hidden="false" customHeight="true" outlineLevel="0" collapsed="false">
      <c r="A17" s="3"/>
      <c r="B17" s="3" t="s">
        <v>232</v>
      </c>
      <c r="C17" s="3" t="s">
        <v>233</v>
      </c>
      <c r="D17" s="3" t="s">
        <v>234</v>
      </c>
      <c r="E17" s="3" t="s">
        <v>235</v>
      </c>
      <c r="F17" s="3" t="s">
        <v>236</v>
      </c>
    </row>
    <row r="18" customFormat="false" ht="15" hidden="false" customHeight="false" outlineLevel="0" collapsed="false">
      <c r="A18" s="17" t="s">
        <v>232</v>
      </c>
      <c r="B18" s="37" t="n">
        <f aca="false">$C$10*$C$10*'2. Assumptions'!B50</f>
        <v>0.0001</v>
      </c>
      <c r="C18" s="37" t="n">
        <f aca="false">$C$10*$C$11*'2. Assumptions'!C50</f>
        <v>0.00015</v>
      </c>
      <c r="D18" s="37" t="n">
        <f aca="false">$C$10*$C$12*'2. Assumptions'!D50</f>
        <v>0</v>
      </c>
      <c r="E18" s="37" t="n">
        <f aca="false">$C$10*$C$13*'2. Assumptions'!E50</f>
        <v>0</v>
      </c>
      <c r="F18" s="37" t="n">
        <f aca="false">$C$10*$C$14*'2. Assumptions'!F50</f>
        <v>0</v>
      </c>
    </row>
    <row r="19" customFormat="false" ht="15" hidden="false" customHeight="false" outlineLevel="0" collapsed="false">
      <c r="A19" s="19" t="s">
        <v>233</v>
      </c>
      <c r="B19" s="38" t="n">
        <f aca="false">$C$11*$C$10*'2. Assumptions'!B51</f>
        <v>0.00015</v>
      </c>
      <c r="C19" s="38" t="n">
        <f aca="false">$C$11*$C$11*'2. Assumptions'!C51</f>
        <v>0.0009</v>
      </c>
      <c r="D19" s="38" t="n">
        <f aca="false">$C$11*$C$12*'2. Assumptions'!D51</f>
        <v>0.00042</v>
      </c>
      <c r="E19" s="38" t="n">
        <f aca="false">$C$11*$C$13*'2. Assumptions'!E51</f>
        <v>0.00051</v>
      </c>
      <c r="F19" s="38" t="n">
        <f aca="false">$C$11*$C$14*'2. Assumptions'!F51</f>
        <v>0.00033</v>
      </c>
    </row>
    <row r="20" customFormat="false" ht="15" hidden="false" customHeight="false" outlineLevel="0" collapsed="false">
      <c r="A20" s="17" t="s">
        <v>234</v>
      </c>
      <c r="B20" s="37" t="n">
        <f aca="false">$C$12*$C$10*'2. Assumptions'!B52</f>
        <v>0</v>
      </c>
      <c r="C20" s="37" t="n">
        <f aca="false">$C$12*$C$11*'2. Assumptions'!C52</f>
        <v>0.00042</v>
      </c>
      <c r="D20" s="37" t="n">
        <f aca="false">$C$12*$C$12*'2. Assumptions'!D52</f>
        <v>0.0196</v>
      </c>
      <c r="E20" s="37" t="n">
        <f aca="false">$C$12*$C$13*'2. Assumptions'!E52</f>
        <v>0.00119</v>
      </c>
      <c r="F20" s="37" t="n">
        <f aca="false">$C$12*$C$14*'2. Assumptions'!F52</f>
        <v>0.00154</v>
      </c>
    </row>
    <row r="21" customFormat="false" ht="15" hidden="false" customHeight="false" outlineLevel="0" collapsed="false">
      <c r="A21" s="19" t="s">
        <v>235</v>
      </c>
      <c r="B21" s="38" t="n">
        <f aca="false">$C$13*$C$10*'2. Assumptions'!B53</f>
        <v>0</v>
      </c>
      <c r="C21" s="38" t="n">
        <f aca="false">$C$13*$C$11*'2. Assumptions'!C53</f>
        <v>0.00051</v>
      </c>
      <c r="D21" s="38" t="n">
        <f aca="false">$C$13*$C$12*'2. Assumptions'!D53</f>
        <v>0.00119</v>
      </c>
      <c r="E21" s="38" t="n">
        <f aca="false">$C$13*$C$13*'2. Assumptions'!E53</f>
        <v>0.0289</v>
      </c>
      <c r="F21" s="38" t="n">
        <f aca="false">$C$13*$C$14*'2. Assumptions'!F53</f>
        <v>0.03179</v>
      </c>
    </row>
    <row r="22" customFormat="false" ht="15" hidden="false" customHeight="false" outlineLevel="0" collapsed="false">
      <c r="A22" s="17" t="s">
        <v>236</v>
      </c>
      <c r="B22" s="37" t="n">
        <f aca="false">$C$14*$C$10*'2. Assumptions'!B54</f>
        <v>0</v>
      </c>
      <c r="C22" s="37" t="n">
        <f aca="false">$C$14*$C$11*'2. Assumptions'!C54</f>
        <v>0.00033</v>
      </c>
      <c r="D22" s="37" t="n">
        <f aca="false">$C$14*$C$12*'2. Assumptions'!D54</f>
        <v>0.00154</v>
      </c>
      <c r="E22" s="37" t="n">
        <f aca="false">$C$14*$C$13*'2. Assumptions'!E54</f>
        <v>0.03179</v>
      </c>
      <c r="F22" s="37" t="n">
        <f aca="false">$C$14*$C$14*'2. Assumptions'!F54</f>
        <v>0.0484</v>
      </c>
    </row>
    <row r="24" customFormat="false" ht="15" hidden="false" customHeight="false" outlineLevel="0" collapsed="false">
      <c r="A24" s="32" t="s">
        <v>312</v>
      </c>
      <c r="B24" s="32"/>
      <c r="C24" s="32"/>
      <c r="D24" s="32"/>
    </row>
    <row r="25" customFormat="false" ht="15" hidden="false" customHeight="false" outlineLevel="0" collapsed="false">
      <c r="A25" s="17" t="s">
        <v>313</v>
      </c>
      <c r="B25" s="37" t="n">
        <f aca="false">MMULT(MMULT(TRANSPOSE(B10:B14),B18:F22),B10:B14)</f>
        <v>0.02789815</v>
      </c>
    </row>
    <row r="26" customFormat="false" ht="15" hidden="false" customHeight="false" outlineLevel="0" collapsed="false">
      <c r="A26" s="39" t="s">
        <v>314</v>
      </c>
      <c r="B26" s="40" t="n">
        <f aca="false">SQRT(B25)</f>
        <v>0.167027392962951</v>
      </c>
    </row>
    <row r="28" customFormat="false" ht="19.5" hidden="false" customHeight="true" outlineLevel="0" collapsed="false">
      <c r="A28" s="15" t="s">
        <v>315</v>
      </c>
      <c r="B28" s="15"/>
      <c r="C28" s="15"/>
      <c r="D28" s="15"/>
    </row>
    <row r="29" customFormat="false" ht="15" hidden="false" customHeight="false" outlineLevel="0" collapsed="false">
      <c r="A29" s="4" t="s">
        <v>316</v>
      </c>
      <c r="B29" s="26" t="n">
        <v>0.1235</v>
      </c>
      <c r="C29" s="4" t="s">
        <v>317</v>
      </c>
      <c r="D29" s="35" t="n">
        <f aca="false">'2. Assumptions'!B12</f>
        <v>0.065</v>
      </c>
    </row>
    <row r="30" customFormat="false" ht="15" hidden="false" customHeight="false" outlineLevel="0" collapsed="false">
      <c r="A30" s="4" t="s">
        <v>318</v>
      </c>
      <c r="B30" s="41" t="n">
        <f aca="false">B26</f>
        <v>0.167027392962951</v>
      </c>
    </row>
    <row r="31" customFormat="false" ht="15" hidden="false" customHeight="false" outlineLevel="0" collapsed="false">
      <c r="A31" s="39" t="s">
        <v>44</v>
      </c>
      <c r="B31" s="42" t="n">
        <f aca="false">(B29-D29)/B30</f>
        <v>0.350241951109039</v>
      </c>
    </row>
    <row r="33" customFormat="false" ht="19.5" hidden="false" customHeight="true" outlineLevel="0" collapsed="false">
      <c r="A33" s="15" t="s">
        <v>319</v>
      </c>
      <c r="B33" s="15"/>
      <c r="C33" s="15"/>
      <c r="D33" s="15"/>
    </row>
    <row r="34" customFormat="false" ht="30" hidden="false" customHeight="true" outlineLevel="0" collapsed="false">
      <c r="A34" s="3" t="s">
        <v>320</v>
      </c>
      <c r="B34" s="3" t="s">
        <v>321</v>
      </c>
      <c r="C34" s="3" t="s">
        <v>322</v>
      </c>
      <c r="D34" s="3" t="s">
        <v>323</v>
      </c>
    </row>
    <row r="35" customFormat="false" ht="45" hidden="false" customHeight="true" outlineLevel="0" collapsed="false">
      <c r="A35" s="17" t="s">
        <v>324</v>
      </c>
      <c r="B35" s="4" t="s">
        <v>325</v>
      </c>
      <c r="C35" s="4" t="s">
        <v>326</v>
      </c>
      <c r="D35" s="21" t="s">
        <v>327</v>
      </c>
    </row>
    <row r="36" customFormat="false" ht="60" hidden="false" customHeight="true" outlineLevel="0" collapsed="false">
      <c r="A36" s="19" t="s">
        <v>328</v>
      </c>
      <c r="B36" s="5" t="s">
        <v>329</v>
      </c>
      <c r="C36" s="5" t="s">
        <v>330</v>
      </c>
      <c r="D36" s="22" t="s">
        <v>331</v>
      </c>
    </row>
    <row r="37" customFormat="false" ht="79.5" hidden="false" customHeight="true" outlineLevel="0" collapsed="false">
      <c r="A37" s="7" t="s">
        <v>332</v>
      </c>
      <c r="B37" s="7" t="s">
        <v>130</v>
      </c>
      <c r="C37" s="7" t="s">
        <v>333</v>
      </c>
      <c r="D37" s="7" t="s">
        <v>126</v>
      </c>
    </row>
    <row r="38" customFormat="false" ht="45" hidden="false" customHeight="true" outlineLevel="0" collapsed="false">
      <c r="A38" s="19" t="s">
        <v>334</v>
      </c>
      <c r="B38" s="5" t="s">
        <v>335</v>
      </c>
      <c r="C38" s="5" t="s">
        <v>336</v>
      </c>
      <c r="D38" s="22" t="s">
        <v>337</v>
      </c>
    </row>
    <row r="39" customFormat="false" ht="60" hidden="false" customHeight="true" outlineLevel="0" collapsed="false">
      <c r="A39" s="7" t="s">
        <v>338</v>
      </c>
      <c r="B39" s="7" t="s">
        <v>339</v>
      </c>
      <c r="C39" s="7" t="s">
        <v>340</v>
      </c>
      <c r="D39" s="7" t="s">
        <v>126</v>
      </c>
    </row>
    <row r="40" customFormat="false" ht="60" hidden="false" customHeight="true" outlineLevel="0" collapsed="false">
      <c r="A40" s="7" t="s">
        <v>295</v>
      </c>
      <c r="B40" s="7" t="s">
        <v>341</v>
      </c>
      <c r="C40" s="7" t="s">
        <v>342</v>
      </c>
      <c r="D40" s="7" t="s">
        <v>126</v>
      </c>
    </row>
  </sheetData>
  <mergeCells count="10">
    <mergeCell ref="A1:D1"/>
    <mergeCell ref="A2:D2"/>
    <mergeCell ref="A4:D4"/>
    <mergeCell ref="A5:D5"/>
    <mergeCell ref="A6:D6"/>
    <mergeCell ref="A8:D8"/>
    <mergeCell ref="A16:D16"/>
    <mergeCell ref="A24:D24"/>
    <mergeCell ref="A28:D28"/>
    <mergeCell ref="A33:D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30"/>
    <col collapsed="false" customWidth="true" hidden="false" outlineLevel="0" max="4" min="4" style="0" width="40"/>
    <col collapsed="false" customWidth="true" hidden="false" outlineLevel="0" max="5" min="5" style="0" width="32"/>
  </cols>
  <sheetData>
    <row r="1" customFormat="false" ht="21.75" hidden="false" customHeight="true" outlineLevel="0" collapsed="false">
      <c r="A1" s="1" t="s">
        <v>343</v>
      </c>
      <c r="B1" s="1"/>
      <c r="C1" s="1"/>
      <c r="D1" s="1"/>
      <c r="E1" s="1"/>
    </row>
    <row r="2" customFormat="false" ht="15.75" hidden="false" customHeight="true" outlineLevel="0" collapsed="false">
      <c r="A2" s="2" t="s">
        <v>344</v>
      </c>
      <c r="B2" s="2"/>
      <c r="C2" s="2"/>
      <c r="D2" s="2"/>
      <c r="E2" s="2"/>
    </row>
    <row r="4" customFormat="false" ht="19.5" hidden="false" customHeight="true" outlineLevel="0" collapsed="false">
      <c r="A4" s="15" t="s">
        <v>345</v>
      </c>
      <c r="B4" s="15"/>
      <c r="C4" s="15"/>
      <c r="D4" s="15"/>
      <c r="E4" s="15"/>
    </row>
    <row r="5" customFormat="false" ht="30" hidden="false" customHeight="true" outlineLevel="0" collapsed="false">
      <c r="A5" s="3" t="s">
        <v>346</v>
      </c>
      <c r="B5" s="3" t="s">
        <v>347</v>
      </c>
      <c r="C5" s="3" t="s">
        <v>348</v>
      </c>
      <c r="D5" s="3" t="s">
        <v>349</v>
      </c>
      <c r="E5" s="3" t="s">
        <v>350</v>
      </c>
    </row>
    <row r="6" customFormat="false" ht="31.5" hidden="false" customHeight="true" outlineLevel="0" collapsed="false">
      <c r="A6" s="4" t="s">
        <v>351</v>
      </c>
      <c r="B6" s="4" t="s">
        <v>352</v>
      </c>
      <c r="C6" s="4" t="s">
        <v>353</v>
      </c>
      <c r="D6" s="4" t="s">
        <v>354</v>
      </c>
      <c r="E6" s="4" t="s">
        <v>355</v>
      </c>
    </row>
    <row r="7" customFormat="false" ht="31.5" hidden="false" customHeight="true" outlineLevel="0" collapsed="false">
      <c r="A7" s="5" t="s">
        <v>356</v>
      </c>
      <c r="B7" s="5" t="s">
        <v>357</v>
      </c>
      <c r="C7" s="5" t="s">
        <v>358</v>
      </c>
      <c r="D7" s="5" t="s">
        <v>359</v>
      </c>
      <c r="E7" s="5" t="s">
        <v>360</v>
      </c>
    </row>
    <row r="8" customFormat="false" ht="31.5" hidden="false" customHeight="true" outlineLevel="0" collapsed="false">
      <c r="A8" s="4" t="s">
        <v>361</v>
      </c>
      <c r="B8" s="4" t="s">
        <v>362</v>
      </c>
      <c r="C8" s="4" t="s">
        <v>358</v>
      </c>
      <c r="D8" s="4" t="s">
        <v>363</v>
      </c>
      <c r="E8" s="4" t="s">
        <v>364</v>
      </c>
    </row>
    <row r="9" customFormat="false" ht="31.5" hidden="false" customHeight="true" outlineLevel="0" collapsed="false">
      <c r="A9" s="5" t="s">
        <v>365</v>
      </c>
      <c r="B9" s="5" t="s">
        <v>366</v>
      </c>
      <c r="C9" s="5" t="s">
        <v>358</v>
      </c>
      <c r="D9" s="5" t="s">
        <v>367</v>
      </c>
      <c r="E9" s="5" t="s">
        <v>364</v>
      </c>
    </row>
    <row r="10" customFormat="false" ht="31.5" hidden="false" customHeight="true" outlineLevel="0" collapsed="false">
      <c r="A10" s="39" t="s">
        <v>368</v>
      </c>
      <c r="B10" s="43" t="s">
        <v>126</v>
      </c>
      <c r="C10" s="43" t="s">
        <v>369</v>
      </c>
      <c r="D10" s="43" t="s">
        <v>370</v>
      </c>
      <c r="E10" s="43" t="s">
        <v>371</v>
      </c>
    </row>
    <row r="12" customFormat="false" ht="19.5" hidden="false" customHeight="true" outlineLevel="0" collapsed="false">
      <c r="A12" s="15" t="s">
        <v>372</v>
      </c>
      <c r="B12" s="15"/>
      <c r="C12" s="15"/>
      <c r="D12" s="15"/>
      <c r="E12" s="15"/>
    </row>
    <row r="13" customFormat="false" ht="30" hidden="false" customHeight="true" outlineLevel="0" collapsed="false">
      <c r="A13" s="3" t="s">
        <v>346</v>
      </c>
      <c r="B13" s="3" t="s">
        <v>347</v>
      </c>
      <c r="C13" s="3" t="s">
        <v>348</v>
      </c>
      <c r="D13" s="3" t="s">
        <v>349</v>
      </c>
      <c r="E13" s="3" t="s">
        <v>350</v>
      </c>
    </row>
    <row r="14" customFormat="false" ht="33.75" hidden="false" customHeight="true" outlineLevel="0" collapsed="false">
      <c r="A14" s="4" t="s">
        <v>373</v>
      </c>
      <c r="B14" s="4" t="s">
        <v>374</v>
      </c>
      <c r="C14" s="4" t="s">
        <v>375</v>
      </c>
      <c r="D14" s="4" t="s">
        <v>376</v>
      </c>
      <c r="E14" s="4" t="s">
        <v>377</v>
      </c>
    </row>
    <row r="15" customFormat="false" ht="33.75" hidden="false" customHeight="true" outlineLevel="0" collapsed="false">
      <c r="A15" s="5" t="s">
        <v>378</v>
      </c>
      <c r="B15" s="5" t="s">
        <v>379</v>
      </c>
      <c r="C15" s="5" t="s">
        <v>380</v>
      </c>
      <c r="D15" s="5" t="s">
        <v>381</v>
      </c>
      <c r="E15" s="5" t="s">
        <v>382</v>
      </c>
    </row>
    <row r="16" customFormat="false" ht="33.75" hidden="false" customHeight="true" outlineLevel="0" collapsed="false">
      <c r="A16" s="4" t="s">
        <v>383</v>
      </c>
      <c r="B16" s="4" t="s">
        <v>384</v>
      </c>
      <c r="C16" s="4" t="s">
        <v>385</v>
      </c>
      <c r="D16" s="4" t="s">
        <v>386</v>
      </c>
      <c r="E16" s="4" t="s">
        <v>382</v>
      </c>
    </row>
    <row r="17" customFormat="false" ht="33.75" hidden="false" customHeight="true" outlineLevel="0" collapsed="false">
      <c r="A17" s="5" t="s">
        <v>387</v>
      </c>
      <c r="B17" s="5" t="s">
        <v>388</v>
      </c>
      <c r="C17" s="5" t="s">
        <v>389</v>
      </c>
      <c r="D17" s="5" t="s">
        <v>390</v>
      </c>
      <c r="E17" s="5" t="s">
        <v>382</v>
      </c>
    </row>
    <row r="18" customFormat="false" ht="33.75" hidden="false" customHeight="true" outlineLevel="0" collapsed="false">
      <c r="A18" s="4" t="s">
        <v>391</v>
      </c>
      <c r="B18" s="4" t="s">
        <v>392</v>
      </c>
      <c r="C18" s="4" t="s">
        <v>393</v>
      </c>
      <c r="D18" s="4" t="s">
        <v>394</v>
      </c>
      <c r="E18" s="4" t="s">
        <v>395</v>
      </c>
    </row>
    <row r="19" customFormat="false" ht="33.75" hidden="false" customHeight="true" outlineLevel="0" collapsed="false">
      <c r="A19" s="5" t="s">
        <v>396</v>
      </c>
      <c r="B19" s="5" t="s">
        <v>397</v>
      </c>
      <c r="C19" s="5" t="s">
        <v>398</v>
      </c>
      <c r="D19" s="5" t="s">
        <v>399</v>
      </c>
      <c r="E19" s="5" t="s">
        <v>400</v>
      </c>
    </row>
    <row r="20" customFormat="false" ht="33.75" hidden="false" customHeight="true" outlineLevel="0" collapsed="false">
      <c r="A20" s="7" t="s">
        <v>401</v>
      </c>
      <c r="B20" s="7" t="s">
        <v>402</v>
      </c>
      <c r="C20" s="7" t="s">
        <v>403</v>
      </c>
      <c r="D20" s="7" t="s">
        <v>404</v>
      </c>
      <c r="E20" s="7" t="s">
        <v>405</v>
      </c>
    </row>
    <row r="21" customFormat="false" ht="33.75" hidden="false" customHeight="true" outlineLevel="0" collapsed="false">
      <c r="A21" s="39" t="s">
        <v>406</v>
      </c>
      <c r="B21" s="43" t="s">
        <v>126</v>
      </c>
      <c r="C21" s="43" t="s">
        <v>407</v>
      </c>
      <c r="D21" s="43" t="s">
        <v>408</v>
      </c>
      <c r="E21" s="43" t="s">
        <v>409</v>
      </c>
    </row>
    <row r="23" customFormat="false" ht="19.5" hidden="false" customHeight="true" outlineLevel="0" collapsed="false">
      <c r="A23" s="15" t="s">
        <v>410</v>
      </c>
      <c r="B23" s="15"/>
      <c r="C23" s="15"/>
      <c r="D23" s="15"/>
      <c r="E23" s="15"/>
    </row>
    <row r="24" customFormat="false" ht="30" hidden="false" customHeight="true" outlineLevel="0" collapsed="false">
      <c r="A24" s="3" t="s">
        <v>346</v>
      </c>
      <c r="B24" s="3" t="s">
        <v>347</v>
      </c>
      <c r="C24" s="3" t="s">
        <v>348</v>
      </c>
      <c r="D24" s="3" t="s">
        <v>349</v>
      </c>
      <c r="E24" s="3" t="s">
        <v>350</v>
      </c>
    </row>
    <row r="25" customFormat="false" ht="39.75" hidden="false" customHeight="true" outlineLevel="0" collapsed="false">
      <c r="A25" s="4" t="s">
        <v>411</v>
      </c>
      <c r="B25" s="4" t="s">
        <v>412</v>
      </c>
      <c r="C25" s="4" t="s">
        <v>413</v>
      </c>
      <c r="D25" s="4" t="s">
        <v>414</v>
      </c>
      <c r="E25" s="4" t="s">
        <v>415</v>
      </c>
    </row>
    <row r="26" customFormat="false" ht="39.75" hidden="false" customHeight="true" outlineLevel="0" collapsed="false">
      <c r="A26" s="5" t="s">
        <v>416</v>
      </c>
      <c r="B26" s="5" t="s">
        <v>417</v>
      </c>
      <c r="C26" s="5" t="s">
        <v>418</v>
      </c>
      <c r="D26" s="5" t="s">
        <v>419</v>
      </c>
      <c r="E26" s="5" t="s">
        <v>420</v>
      </c>
    </row>
    <row r="28" customFormat="false" ht="19.5" hidden="false" customHeight="true" outlineLevel="0" collapsed="false">
      <c r="A28" s="15" t="s">
        <v>421</v>
      </c>
      <c r="B28" s="15"/>
      <c r="C28" s="15"/>
      <c r="D28" s="15"/>
      <c r="E28" s="15"/>
    </row>
    <row r="29" customFormat="false" ht="15" hidden="false" customHeight="false" outlineLevel="0" collapsed="false">
      <c r="A29" s="32" t="s">
        <v>422</v>
      </c>
      <c r="B29" s="32"/>
      <c r="C29" s="32"/>
      <c r="D29" s="32"/>
      <c r="E29" s="32"/>
    </row>
    <row r="30" customFormat="false" ht="30" hidden="false" customHeight="true" outlineLevel="0" collapsed="false">
      <c r="A30" s="3" t="s">
        <v>423</v>
      </c>
      <c r="B30" s="3" t="s">
        <v>424</v>
      </c>
      <c r="C30" s="3" t="s">
        <v>425</v>
      </c>
    </row>
    <row r="31" customFormat="false" ht="15" hidden="false" customHeight="false" outlineLevel="0" collapsed="false">
      <c r="A31" s="4" t="s">
        <v>426</v>
      </c>
      <c r="B31" s="17" t="s">
        <v>427</v>
      </c>
      <c r="C31" s="4" t="s">
        <v>428</v>
      </c>
    </row>
    <row r="32" customFormat="false" ht="15" hidden="false" customHeight="false" outlineLevel="0" collapsed="false">
      <c r="A32" s="5" t="s">
        <v>429</v>
      </c>
      <c r="B32" s="19" t="s">
        <v>430</v>
      </c>
      <c r="C32" s="5" t="s">
        <v>431</v>
      </c>
    </row>
    <row r="33" customFormat="false" ht="15" hidden="false" customHeight="false" outlineLevel="0" collapsed="false">
      <c r="A33" s="4" t="s">
        <v>432</v>
      </c>
      <c r="B33" s="17" t="s">
        <v>433</v>
      </c>
      <c r="C33" s="4" t="s">
        <v>434</v>
      </c>
    </row>
    <row r="35" customFormat="false" ht="15" hidden="false" customHeight="false" outlineLevel="0" collapsed="false">
      <c r="A35" s="44" t="s">
        <v>435</v>
      </c>
      <c r="B35" s="44"/>
      <c r="C35" s="44"/>
      <c r="D35" s="44"/>
      <c r="E35" s="44"/>
    </row>
  </sheetData>
  <mergeCells count="8">
    <mergeCell ref="A1:E1"/>
    <mergeCell ref="A2:E2"/>
    <mergeCell ref="A4:E4"/>
    <mergeCell ref="A12:E12"/>
    <mergeCell ref="A23:E23"/>
    <mergeCell ref="A28:E28"/>
    <mergeCell ref="A29:E29"/>
    <mergeCell ref="A35:E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6"/>
    <col collapsed="false" customWidth="true" hidden="false" outlineLevel="0" max="4" min="3" style="0" width="12"/>
    <col collapsed="false" customWidth="true" hidden="false" outlineLevel="0" max="5" min="5" style="0" width="10"/>
    <col collapsed="false" customWidth="true" hidden="false" outlineLevel="0" max="6" min="6" style="0" width="16"/>
    <col collapsed="false" customWidth="true" hidden="false" outlineLevel="0" max="7" min="7" style="0" width="14"/>
    <col collapsed="false" customWidth="true" hidden="false" outlineLevel="0" max="8" min="8" style="0" width="11"/>
    <col collapsed="false" customWidth="true" hidden="false" outlineLevel="0" max="9" min="9" style="0" width="26"/>
  </cols>
  <sheetData>
    <row r="1" customFormat="false" ht="21.75" hidden="false" customHeight="true" outlineLevel="0" collapsed="false">
      <c r="A1" s="1" t="s">
        <v>436</v>
      </c>
      <c r="B1" s="1"/>
      <c r="C1" s="1"/>
      <c r="D1" s="1"/>
      <c r="E1" s="1"/>
      <c r="F1" s="1"/>
    </row>
    <row r="2" customFormat="false" ht="15.75" hidden="false" customHeight="true" outlineLevel="0" collapsed="false">
      <c r="A2" s="2" t="s">
        <v>437</v>
      </c>
      <c r="B2" s="2"/>
      <c r="C2" s="2"/>
      <c r="D2" s="2"/>
      <c r="E2" s="2"/>
      <c r="F2" s="2"/>
    </row>
    <row r="4" customFormat="false" ht="19.5" hidden="false" customHeight="true" outlineLevel="0" collapsed="false">
      <c r="A4" s="15" t="s">
        <v>438</v>
      </c>
      <c r="B4" s="15"/>
      <c r="C4" s="15"/>
      <c r="D4" s="15"/>
      <c r="E4" s="15"/>
      <c r="F4" s="15"/>
    </row>
    <row r="5" customFormat="false" ht="30" hidden="false" customHeight="true" outlineLevel="0" collapsed="false">
      <c r="A5" s="3" t="s">
        <v>439</v>
      </c>
      <c r="B5" s="3" t="s">
        <v>440</v>
      </c>
      <c r="C5" s="3" t="s">
        <v>232</v>
      </c>
      <c r="D5" s="3" t="s">
        <v>233</v>
      </c>
      <c r="E5" s="3" t="s">
        <v>234</v>
      </c>
      <c r="F5" s="3" t="s">
        <v>235</v>
      </c>
      <c r="G5" s="3" t="s">
        <v>236</v>
      </c>
      <c r="H5" s="3" t="s">
        <v>441</v>
      </c>
      <c r="I5" s="21" t="s">
        <v>442</v>
      </c>
    </row>
    <row r="6" customFormat="false" ht="15" hidden="false" customHeight="false" outlineLevel="0" collapsed="false">
      <c r="A6" s="4" t="s">
        <v>443</v>
      </c>
      <c r="B6" s="17" t="s">
        <v>427</v>
      </c>
      <c r="C6" s="8" t="n">
        <v>0.7</v>
      </c>
      <c r="D6" s="8" t="n">
        <v>0.3</v>
      </c>
      <c r="E6" s="8" t="n">
        <v>0</v>
      </c>
      <c r="F6" s="8" t="n">
        <v>0</v>
      </c>
      <c r="G6" s="8" t="n">
        <v>0</v>
      </c>
      <c r="H6" s="45" t="n">
        <f aca="false">SUM(F6:G6)</f>
        <v>0</v>
      </c>
      <c r="I6" s="21" t="str">
        <f aca="false">A6&amp;"|"&amp;B6</f>
        <v>Short (≤3 yrs)|Conservative</v>
      </c>
    </row>
    <row r="7" customFormat="false" ht="15" hidden="false" customHeight="false" outlineLevel="0" collapsed="false">
      <c r="A7" s="5" t="s">
        <v>443</v>
      </c>
      <c r="B7" s="19" t="s">
        <v>430</v>
      </c>
      <c r="C7" s="9" t="n">
        <v>0.55</v>
      </c>
      <c r="D7" s="9" t="n">
        <v>0.35</v>
      </c>
      <c r="E7" s="9" t="n">
        <v>0.05</v>
      </c>
      <c r="F7" s="9" t="n">
        <v>0.05</v>
      </c>
      <c r="G7" s="9" t="n">
        <v>0</v>
      </c>
      <c r="H7" s="46" t="n">
        <f aca="false">SUM(F7:G7)</f>
        <v>0.05</v>
      </c>
      <c r="I7" s="22" t="str">
        <f aca="false">A7&amp;"|"&amp;B7</f>
        <v>Short (≤3 yrs)|Moderate</v>
      </c>
    </row>
    <row r="8" customFormat="false" ht="15" hidden="false" customHeight="false" outlineLevel="0" collapsed="false">
      <c r="A8" s="4" t="s">
        <v>443</v>
      </c>
      <c r="B8" s="17" t="s">
        <v>433</v>
      </c>
      <c r="C8" s="8" t="n">
        <v>0.4</v>
      </c>
      <c r="D8" s="8" t="n">
        <v>0.4</v>
      </c>
      <c r="E8" s="8" t="n">
        <v>0.05</v>
      </c>
      <c r="F8" s="8" t="n">
        <v>0.15</v>
      </c>
      <c r="G8" s="8" t="n">
        <v>0</v>
      </c>
      <c r="H8" s="45" t="n">
        <f aca="false">SUM(F8:G8)</f>
        <v>0.15</v>
      </c>
      <c r="I8" s="21" t="str">
        <f aca="false">A8&amp;"|"&amp;B8</f>
        <v>Short (≤3 yrs)|Aggressive</v>
      </c>
    </row>
    <row r="9" customFormat="false" ht="15" hidden="false" customHeight="false" outlineLevel="0" collapsed="false">
      <c r="A9" s="5" t="s">
        <v>444</v>
      </c>
      <c r="B9" s="19" t="s">
        <v>427</v>
      </c>
      <c r="C9" s="9" t="n">
        <v>0.1</v>
      </c>
      <c r="D9" s="9" t="n">
        <v>0.55</v>
      </c>
      <c r="E9" s="9" t="n">
        <v>0.1</v>
      </c>
      <c r="F9" s="9" t="n">
        <v>0.25</v>
      </c>
      <c r="G9" s="9" t="n">
        <v>0</v>
      </c>
      <c r="H9" s="46" t="n">
        <f aca="false">SUM(F9:G9)</f>
        <v>0.25</v>
      </c>
      <c r="I9" s="22" t="str">
        <f aca="false">A9&amp;"|"&amp;B9</f>
        <v>Medium (3–7 yrs)|Conservative</v>
      </c>
    </row>
    <row r="10" customFormat="false" ht="15" hidden="false" customHeight="false" outlineLevel="0" collapsed="false">
      <c r="A10" s="4" t="s">
        <v>444</v>
      </c>
      <c r="B10" s="17" t="s">
        <v>430</v>
      </c>
      <c r="C10" s="8" t="n">
        <v>0.05</v>
      </c>
      <c r="D10" s="8" t="n">
        <v>0.35</v>
      </c>
      <c r="E10" s="8" t="n">
        <v>0.1</v>
      </c>
      <c r="F10" s="8" t="n">
        <v>0.4</v>
      </c>
      <c r="G10" s="8" t="n">
        <v>0.1</v>
      </c>
      <c r="H10" s="45" t="n">
        <f aca="false">SUM(F10:G10)</f>
        <v>0.5</v>
      </c>
      <c r="I10" s="21" t="str">
        <f aca="false">A10&amp;"|"&amp;B10</f>
        <v>Medium (3–7 yrs)|Moderate</v>
      </c>
    </row>
    <row r="11" customFormat="false" ht="15" hidden="false" customHeight="false" outlineLevel="0" collapsed="false">
      <c r="A11" s="5" t="s">
        <v>444</v>
      </c>
      <c r="B11" s="19" t="s">
        <v>433</v>
      </c>
      <c r="C11" s="9" t="n">
        <v>0</v>
      </c>
      <c r="D11" s="9" t="n">
        <v>0.2</v>
      </c>
      <c r="E11" s="9" t="n">
        <v>0.1</v>
      </c>
      <c r="F11" s="9" t="n">
        <v>0.45</v>
      </c>
      <c r="G11" s="9" t="n">
        <v>0.25</v>
      </c>
      <c r="H11" s="46" t="n">
        <f aca="false">SUM(F11:G11)</f>
        <v>0.7</v>
      </c>
      <c r="I11" s="22" t="str">
        <f aca="false">A11&amp;"|"&amp;B11</f>
        <v>Medium (3–7 yrs)|Aggressive</v>
      </c>
    </row>
    <row r="12" customFormat="false" ht="15" hidden="false" customHeight="false" outlineLevel="0" collapsed="false">
      <c r="A12" s="4" t="s">
        <v>445</v>
      </c>
      <c r="B12" s="17" t="s">
        <v>427</v>
      </c>
      <c r="C12" s="8" t="n">
        <v>0</v>
      </c>
      <c r="D12" s="8" t="n">
        <v>0.4</v>
      </c>
      <c r="E12" s="8" t="n">
        <v>0.1</v>
      </c>
      <c r="F12" s="8" t="n">
        <v>0.4</v>
      </c>
      <c r="G12" s="8" t="n">
        <v>0.1</v>
      </c>
      <c r="H12" s="45" t="n">
        <f aca="false">SUM(F12:G12)</f>
        <v>0.5</v>
      </c>
      <c r="I12" s="21" t="str">
        <f aca="false">A12&amp;"|"&amp;B12</f>
        <v>Long (&gt;7 yrs)|Conservative</v>
      </c>
    </row>
    <row r="13" customFormat="false" ht="15" hidden="false" customHeight="false" outlineLevel="0" collapsed="false">
      <c r="A13" s="5" t="s">
        <v>445</v>
      </c>
      <c r="B13" s="19" t="s">
        <v>430</v>
      </c>
      <c r="C13" s="9" t="n">
        <v>0</v>
      </c>
      <c r="D13" s="9" t="n">
        <v>0.2</v>
      </c>
      <c r="E13" s="9" t="n">
        <v>0.1</v>
      </c>
      <c r="F13" s="9" t="n">
        <v>0.45</v>
      </c>
      <c r="G13" s="9" t="n">
        <v>0.25</v>
      </c>
      <c r="H13" s="46" t="n">
        <f aca="false">SUM(F13:G13)</f>
        <v>0.7</v>
      </c>
      <c r="I13" s="22" t="str">
        <f aca="false">A13&amp;"|"&amp;B13</f>
        <v>Long (&gt;7 yrs)|Moderate</v>
      </c>
    </row>
    <row r="14" customFormat="false" ht="15" hidden="false" customHeight="false" outlineLevel="0" collapsed="false">
      <c r="A14" s="4" t="s">
        <v>445</v>
      </c>
      <c r="B14" s="17" t="s">
        <v>433</v>
      </c>
      <c r="C14" s="8" t="n">
        <v>0</v>
      </c>
      <c r="D14" s="8" t="n">
        <v>0.05</v>
      </c>
      <c r="E14" s="8" t="n">
        <v>0.05</v>
      </c>
      <c r="F14" s="8" t="n">
        <v>0.5</v>
      </c>
      <c r="G14" s="8" t="n">
        <v>0.4</v>
      </c>
      <c r="H14" s="45" t="n">
        <f aca="false">SUM(F14:G14)</f>
        <v>0.9</v>
      </c>
      <c r="I14" s="21" t="str">
        <f aca="false">A14&amp;"|"&amp;B14</f>
        <v>Long (&gt;7 yrs)|Aggressive</v>
      </c>
    </row>
    <row r="16" customFormat="false" ht="15" hidden="false" customHeight="false" outlineLevel="0" collapsed="false">
      <c r="A16" s="32" t="s">
        <v>446</v>
      </c>
      <c r="B16" s="32"/>
      <c r="C16" s="32"/>
      <c r="D16" s="32"/>
      <c r="E16" s="32"/>
      <c r="F16" s="32"/>
    </row>
    <row r="18" customFormat="false" ht="19.5" hidden="false" customHeight="true" outlineLevel="0" collapsed="false">
      <c r="A18" s="15" t="s">
        <v>447</v>
      </c>
      <c r="B18" s="15"/>
      <c r="C18" s="15"/>
      <c r="D18" s="15"/>
      <c r="E18" s="15"/>
      <c r="F18" s="15"/>
    </row>
    <row r="19" customFormat="false" ht="30" hidden="false" customHeight="true" outlineLevel="0" collapsed="false">
      <c r="A19" s="3" t="s">
        <v>448</v>
      </c>
      <c r="B19" s="3" t="s">
        <v>449</v>
      </c>
      <c r="C19" s="3"/>
      <c r="D19" s="3"/>
      <c r="E19" s="3"/>
      <c r="F19" s="3"/>
    </row>
    <row r="20" customFormat="false" ht="48" hidden="false" customHeight="true" outlineLevel="0" collapsed="false">
      <c r="A20" s="17" t="s">
        <v>450</v>
      </c>
      <c r="B20" s="4" t="s">
        <v>451</v>
      </c>
      <c r="C20" s="4"/>
      <c r="D20" s="4"/>
      <c r="E20" s="4"/>
      <c r="F20" s="4"/>
    </row>
    <row r="21" customFormat="false" ht="69.75" hidden="false" customHeight="true" outlineLevel="0" collapsed="false">
      <c r="A21" s="19" t="s">
        <v>452</v>
      </c>
      <c r="B21" s="5" t="s">
        <v>453</v>
      </c>
      <c r="C21" s="5"/>
      <c r="D21" s="5"/>
      <c r="E21" s="5"/>
      <c r="F21" s="5"/>
    </row>
    <row r="22" customFormat="false" ht="69.75" hidden="false" customHeight="true" outlineLevel="0" collapsed="false">
      <c r="A22" s="17" t="s">
        <v>454</v>
      </c>
      <c r="B22" s="4" t="s">
        <v>455</v>
      </c>
      <c r="C22" s="4"/>
      <c r="D22" s="4"/>
      <c r="E22" s="4"/>
      <c r="F22" s="4"/>
    </row>
    <row r="23" customFormat="false" ht="48" hidden="false" customHeight="true" outlineLevel="0" collapsed="false">
      <c r="A23" s="19" t="s">
        <v>456</v>
      </c>
      <c r="B23" s="5" t="s">
        <v>457</v>
      </c>
      <c r="C23" s="5"/>
      <c r="D23" s="5"/>
      <c r="E23" s="5"/>
      <c r="F23" s="5"/>
    </row>
    <row r="24" customFormat="false" ht="31.5" hidden="false" customHeight="true" outlineLevel="0" collapsed="false">
      <c r="A24" s="17" t="s">
        <v>458</v>
      </c>
      <c r="B24" s="4" t="s">
        <v>459</v>
      </c>
      <c r="C24" s="4"/>
      <c r="D24" s="4"/>
      <c r="E24" s="4"/>
      <c r="F24" s="4"/>
    </row>
    <row r="25" customFormat="false" ht="63.75" hidden="false" customHeight="true" outlineLevel="0" collapsed="false">
      <c r="A25" s="19" t="s">
        <v>460</v>
      </c>
      <c r="B25" s="5" t="s">
        <v>461</v>
      </c>
      <c r="C25" s="5"/>
      <c r="D25" s="5"/>
      <c r="E25" s="5"/>
      <c r="F25" s="5"/>
    </row>
    <row r="26" customFormat="false" ht="31.5" hidden="false" customHeight="true" outlineLevel="0" collapsed="false">
      <c r="A26" s="47" t="s">
        <v>462</v>
      </c>
      <c r="B26" s="7" t="s">
        <v>463</v>
      </c>
      <c r="C26" s="7"/>
      <c r="D26" s="7"/>
      <c r="E26" s="7"/>
      <c r="F26" s="7"/>
    </row>
    <row r="28" customFormat="false" ht="15" hidden="false" customHeight="false" outlineLevel="0" collapsed="false">
      <c r="A28" s="32" t="s">
        <v>464</v>
      </c>
      <c r="B28" s="32"/>
      <c r="C28" s="32"/>
      <c r="D28" s="32"/>
      <c r="E28" s="32"/>
      <c r="F28" s="32"/>
    </row>
    <row r="30" customFormat="false" ht="19.5" hidden="false" customHeight="true" outlineLevel="0" collapsed="false">
      <c r="A30" s="15" t="s">
        <v>465</v>
      </c>
      <c r="B30" s="15"/>
      <c r="C30" s="15"/>
      <c r="D30" s="15"/>
      <c r="E30" s="15"/>
      <c r="F30" s="15"/>
    </row>
    <row r="31" customFormat="false" ht="15" hidden="false" customHeight="false" outlineLevel="0" collapsed="false">
      <c r="A31" s="32" t="s">
        <v>466</v>
      </c>
      <c r="B31" s="32"/>
      <c r="C31" s="32"/>
      <c r="D31" s="32"/>
      <c r="E31" s="32"/>
      <c r="F31" s="32"/>
    </row>
    <row r="32" customFormat="false" ht="15" hidden="false" customHeight="false" outlineLevel="0" collapsed="false">
      <c r="A32" s="32" t="s">
        <v>467</v>
      </c>
      <c r="B32" s="32"/>
      <c r="C32" s="32"/>
      <c r="D32" s="32"/>
      <c r="E32" s="32"/>
      <c r="F32" s="32"/>
    </row>
    <row r="34" customFormat="false" ht="30" hidden="false" customHeight="true" outlineLevel="0" collapsed="false">
      <c r="A34" s="3" t="s">
        <v>468</v>
      </c>
      <c r="B34" s="3" t="s">
        <v>107</v>
      </c>
      <c r="C34" s="3"/>
    </row>
    <row r="35" customFormat="false" ht="35.05" hidden="false" customHeight="true" outlineLevel="0" collapsed="false">
      <c r="A35" s="4" t="s">
        <v>469</v>
      </c>
      <c r="B35" s="4" t="s">
        <v>470</v>
      </c>
      <c r="C35" s="4"/>
    </row>
    <row r="36" customFormat="false" ht="23.85" hidden="false" customHeight="true" outlineLevel="0" collapsed="false">
      <c r="A36" s="5" t="s">
        <v>471</v>
      </c>
      <c r="B36" s="5" t="s">
        <v>472</v>
      </c>
      <c r="C36" s="5"/>
    </row>
    <row r="37" customFormat="false" ht="15" hidden="false" customHeight="true" outlineLevel="0" collapsed="false">
      <c r="A37" s="4" t="s">
        <v>473</v>
      </c>
      <c r="B37" s="4" t="s">
        <v>474</v>
      </c>
      <c r="C37" s="4"/>
    </row>
    <row r="38" customFormat="false" ht="23.85" hidden="false" customHeight="true" outlineLevel="0" collapsed="false">
      <c r="A38" s="5" t="s">
        <v>475</v>
      </c>
      <c r="B38" s="5" t="s">
        <v>476</v>
      </c>
      <c r="C38" s="5"/>
    </row>
    <row r="39" customFormat="false" ht="23.85" hidden="false" customHeight="true" outlineLevel="0" collapsed="false">
      <c r="A39" s="4" t="s">
        <v>477</v>
      </c>
      <c r="B39" s="4" t="s">
        <v>478</v>
      </c>
      <c r="C39" s="4"/>
    </row>
    <row r="40" customFormat="false" ht="23.85" hidden="false" customHeight="true" outlineLevel="0" collapsed="false">
      <c r="A40" s="5" t="s">
        <v>479</v>
      </c>
      <c r="B40" s="5" t="s">
        <v>480</v>
      </c>
      <c r="C40" s="5"/>
    </row>
    <row r="41" customFormat="false" ht="23.85" hidden="false" customHeight="true" outlineLevel="0" collapsed="false">
      <c r="A41" s="4" t="s">
        <v>481</v>
      </c>
      <c r="B41" s="4" t="s">
        <v>482</v>
      </c>
      <c r="C41" s="4"/>
    </row>
    <row r="42" customFormat="false" ht="68.65" hidden="false" customHeight="true" outlineLevel="0" collapsed="false">
      <c r="A42" s="39" t="s">
        <v>483</v>
      </c>
      <c r="B42" s="39" t="s">
        <v>484</v>
      </c>
      <c r="C42" s="39"/>
    </row>
    <row r="44" customFormat="false" ht="15" hidden="false" customHeight="false" outlineLevel="0" collapsed="false">
      <c r="A44" s="32" t="s">
        <v>485</v>
      </c>
      <c r="B44" s="32"/>
      <c r="C44" s="32"/>
      <c r="D44" s="32"/>
      <c r="E44" s="32"/>
      <c r="F44" s="32"/>
    </row>
  </sheetData>
  <mergeCells count="27">
    <mergeCell ref="A1:F1"/>
    <mergeCell ref="A2:F2"/>
    <mergeCell ref="A4:F4"/>
    <mergeCell ref="A16:F16"/>
    <mergeCell ref="A18:F18"/>
    <mergeCell ref="B19:F19"/>
    <mergeCell ref="B20:F20"/>
    <mergeCell ref="B21:F21"/>
    <mergeCell ref="B22:F22"/>
    <mergeCell ref="B23:F23"/>
    <mergeCell ref="B24:F24"/>
    <mergeCell ref="B25:F25"/>
    <mergeCell ref="B26:F26"/>
    <mergeCell ref="A28:F28"/>
    <mergeCell ref="A30:F30"/>
    <mergeCell ref="A31:F31"/>
    <mergeCell ref="A32:F32"/>
    <mergeCell ref="B34:C34"/>
    <mergeCell ref="B35:C35"/>
    <mergeCell ref="B36:C36"/>
    <mergeCell ref="B37:C37"/>
    <mergeCell ref="B38:C38"/>
    <mergeCell ref="B39:C39"/>
    <mergeCell ref="B40:C40"/>
    <mergeCell ref="B41:C41"/>
    <mergeCell ref="B42:C42"/>
    <mergeCell ref="A44:F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6" min="2" style="0" width="20"/>
  </cols>
  <sheetData>
    <row r="1" customFormat="false" ht="21.75" hidden="false" customHeight="true" outlineLevel="0" collapsed="false">
      <c r="A1" s="1" t="s">
        <v>486</v>
      </c>
      <c r="B1" s="1"/>
      <c r="C1" s="1"/>
      <c r="D1" s="1"/>
      <c r="E1" s="1"/>
      <c r="F1" s="1"/>
    </row>
    <row r="2" customFormat="false" ht="15.75" hidden="false" customHeight="true" outlineLevel="0" collapsed="false">
      <c r="A2" s="2" t="s">
        <v>487</v>
      </c>
      <c r="B2" s="2"/>
      <c r="C2" s="2"/>
      <c r="D2" s="2"/>
      <c r="E2" s="2"/>
      <c r="F2" s="2"/>
    </row>
    <row r="4" customFormat="false" ht="19.5" hidden="false" customHeight="true" outlineLevel="0" collapsed="false">
      <c r="A4" s="15" t="s">
        <v>488</v>
      </c>
      <c r="B4" s="15"/>
      <c r="C4" s="15"/>
      <c r="D4" s="15"/>
      <c r="E4" s="15"/>
      <c r="F4" s="15"/>
    </row>
    <row r="5" customFormat="false" ht="30" hidden="false" customHeight="true" outlineLevel="0" collapsed="false">
      <c r="A5" s="3" t="s">
        <v>489</v>
      </c>
      <c r="B5" s="3" t="s">
        <v>107</v>
      </c>
      <c r="C5" s="3" t="s">
        <v>490</v>
      </c>
      <c r="D5" s="3"/>
      <c r="E5" s="3"/>
      <c r="F5" s="3"/>
    </row>
    <row r="6" customFormat="false" ht="15" hidden="false" customHeight="true" outlineLevel="0" collapsed="false">
      <c r="A6" s="4" t="s">
        <v>373</v>
      </c>
      <c r="B6" s="24" t="n">
        <v>27</v>
      </c>
      <c r="C6" s="21" t="s">
        <v>491</v>
      </c>
      <c r="D6" s="21"/>
      <c r="E6" s="21"/>
      <c r="F6" s="21"/>
    </row>
    <row r="7" customFormat="false" ht="15" hidden="false" customHeight="true" outlineLevel="0" collapsed="false">
      <c r="A7" s="4" t="s">
        <v>492</v>
      </c>
      <c r="B7" s="48" t="s">
        <v>493</v>
      </c>
      <c r="C7" s="21" t="s">
        <v>494</v>
      </c>
      <c r="D7" s="21"/>
      <c r="E7" s="21"/>
      <c r="F7" s="21"/>
    </row>
    <row r="8" customFormat="false" ht="15" hidden="false" customHeight="true" outlineLevel="0" collapsed="false">
      <c r="A8" s="4" t="s">
        <v>495</v>
      </c>
      <c r="B8" s="23" t="n">
        <v>1200000</v>
      </c>
      <c r="C8" s="21" t="s">
        <v>491</v>
      </c>
      <c r="D8" s="21"/>
      <c r="E8" s="21"/>
      <c r="F8" s="21"/>
    </row>
    <row r="9" customFormat="false" ht="15" hidden="false" customHeight="true" outlineLevel="0" collapsed="false">
      <c r="A9" s="4" t="s">
        <v>496</v>
      </c>
      <c r="B9" s="23" t="n">
        <v>50000</v>
      </c>
      <c r="C9" s="21" t="s">
        <v>491</v>
      </c>
      <c r="D9" s="21"/>
      <c r="E9" s="21"/>
      <c r="F9" s="21"/>
    </row>
    <row r="10" customFormat="false" ht="15" hidden="false" customHeight="true" outlineLevel="0" collapsed="false">
      <c r="A10" s="4" t="s">
        <v>378</v>
      </c>
      <c r="B10" s="24" t="n">
        <v>1</v>
      </c>
      <c r="C10" s="21" t="s">
        <v>491</v>
      </c>
      <c r="D10" s="21"/>
      <c r="E10" s="21"/>
      <c r="F10" s="21"/>
    </row>
    <row r="11" customFormat="false" ht="22.35" hidden="false" customHeight="true" outlineLevel="0" collapsed="false">
      <c r="A11" s="4" t="s">
        <v>497</v>
      </c>
      <c r="B11" s="23" t="n">
        <v>0</v>
      </c>
      <c r="C11" s="21" t="s">
        <v>498</v>
      </c>
      <c r="D11" s="21"/>
      <c r="E11" s="21"/>
      <c r="F11" s="21"/>
    </row>
    <row r="12" customFormat="false" ht="15" hidden="false" customHeight="true" outlineLevel="0" collapsed="false">
      <c r="A12" s="4" t="s">
        <v>499</v>
      </c>
      <c r="B12" s="48" t="s">
        <v>500</v>
      </c>
      <c r="C12" s="21" t="s">
        <v>491</v>
      </c>
      <c r="D12" s="21"/>
      <c r="E12" s="21"/>
      <c r="F12" s="21"/>
    </row>
    <row r="13" customFormat="false" ht="23.85" hidden="false" customHeight="true" outlineLevel="0" collapsed="false">
      <c r="A13" s="4" t="s">
        <v>501</v>
      </c>
      <c r="B13" s="49" t="n">
        <v>10</v>
      </c>
      <c r="C13" s="50" t="s">
        <v>502</v>
      </c>
      <c r="D13" s="50"/>
      <c r="E13" s="50"/>
      <c r="F13" s="50"/>
    </row>
    <row r="14" customFormat="false" ht="15" hidden="false" customHeight="true" outlineLevel="0" collapsed="false">
      <c r="A14" s="4" t="s">
        <v>503</v>
      </c>
      <c r="B14" s="49" t="n">
        <v>10</v>
      </c>
      <c r="C14" s="50" t="s">
        <v>504</v>
      </c>
      <c r="D14" s="50"/>
      <c r="E14" s="50"/>
      <c r="F14" s="50"/>
    </row>
    <row r="15" customFormat="false" ht="15" hidden="false" customHeight="true" outlineLevel="0" collapsed="false">
      <c r="A15" s="4" t="s">
        <v>505</v>
      </c>
      <c r="B15" s="49" t="n">
        <v>10</v>
      </c>
      <c r="C15" s="50" t="s">
        <v>504</v>
      </c>
      <c r="D15" s="50"/>
      <c r="E15" s="50"/>
      <c r="F15" s="50"/>
    </row>
    <row r="16" customFormat="false" ht="15" hidden="false" customHeight="true" outlineLevel="0" collapsed="false">
      <c r="A16" s="4" t="s">
        <v>506</v>
      </c>
      <c r="B16" s="23" t="n">
        <v>200000</v>
      </c>
      <c r="C16" s="21" t="s">
        <v>491</v>
      </c>
      <c r="D16" s="21"/>
      <c r="E16" s="21"/>
      <c r="F16" s="21"/>
    </row>
    <row r="17" customFormat="false" ht="15" hidden="false" customHeight="true" outlineLevel="0" collapsed="false">
      <c r="A17" s="4" t="s">
        <v>507</v>
      </c>
      <c r="B17" s="23" t="n">
        <v>25000</v>
      </c>
      <c r="C17" s="21" t="s">
        <v>491</v>
      </c>
      <c r="D17" s="21"/>
      <c r="E17" s="21"/>
      <c r="F17" s="21"/>
    </row>
    <row r="18" customFormat="false" ht="15" hidden="false" customHeight="true" outlineLevel="0" collapsed="false">
      <c r="A18" s="4" t="s">
        <v>508</v>
      </c>
      <c r="B18" s="8" t="n">
        <v>0</v>
      </c>
      <c r="C18" s="21" t="s">
        <v>509</v>
      </c>
      <c r="D18" s="21"/>
      <c r="E18" s="21"/>
      <c r="F18" s="21"/>
    </row>
    <row r="19" customFormat="false" ht="22.35" hidden="false" customHeight="true" outlineLevel="0" collapsed="false">
      <c r="A19" s="4" t="s">
        <v>510</v>
      </c>
      <c r="B19" s="24" t="n">
        <v>60</v>
      </c>
      <c r="C19" s="21" t="s">
        <v>511</v>
      </c>
      <c r="D19" s="21"/>
      <c r="E19" s="21"/>
      <c r="F19" s="21"/>
    </row>
    <row r="20" customFormat="false" ht="15" hidden="false" customHeight="true" outlineLevel="0" collapsed="false">
      <c r="A20" s="4" t="s">
        <v>512</v>
      </c>
      <c r="B20" s="24" t="n">
        <v>6</v>
      </c>
      <c r="C20" s="21" t="s">
        <v>491</v>
      </c>
      <c r="D20" s="21"/>
      <c r="E20" s="21"/>
      <c r="F20" s="21"/>
    </row>
    <row r="21" customFormat="false" ht="35.05" hidden="false" customHeight="true" outlineLevel="0" collapsed="false">
      <c r="A21" s="4" t="s">
        <v>513</v>
      </c>
      <c r="B21" s="51" t="n">
        <v>1500000</v>
      </c>
      <c r="C21" s="50" t="s">
        <v>514</v>
      </c>
      <c r="D21" s="50"/>
      <c r="E21" s="50"/>
      <c r="F21" s="50"/>
    </row>
    <row r="22" customFormat="false" ht="22.35" hidden="false" customHeight="true" outlineLevel="0" collapsed="false">
      <c r="A22" s="4" t="s">
        <v>515</v>
      </c>
      <c r="B22" s="48" t="s">
        <v>516</v>
      </c>
      <c r="C22" s="21" t="s">
        <v>517</v>
      </c>
      <c r="D22" s="21"/>
      <c r="E22" s="21"/>
      <c r="F22" s="21"/>
    </row>
    <row r="24" customFormat="false" ht="19.5" hidden="false" customHeight="true" outlineLevel="0" collapsed="false">
      <c r="A24" s="15" t="s">
        <v>518</v>
      </c>
      <c r="B24" s="15"/>
      <c r="C24" s="15"/>
      <c r="D24" s="15"/>
      <c r="E24" s="15"/>
      <c r="F24" s="15"/>
    </row>
    <row r="25" customFormat="false" ht="15" hidden="false" customHeight="false" outlineLevel="0" collapsed="false">
      <c r="A25" s="4" t="s">
        <v>519</v>
      </c>
      <c r="B25" s="25" t="n">
        <f aca="false">B8/12</f>
        <v>100000</v>
      </c>
    </row>
    <row r="26" customFormat="false" ht="23.85" hidden="false" customHeight="false" outlineLevel="0" collapsed="false">
      <c r="A26" s="4" t="s">
        <v>520</v>
      </c>
      <c r="B26" s="25" t="n">
        <f aca="false">MAX(0,B25-B9-B11)</f>
        <v>50000</v>
      </c>
    </row>
    <row r="27" customFormat="false" ht="15" hidden="false" customHeight="false" outlineLevel="0" collapsed="false">
      <c r="A27" s="4" t="s">
        <v>521</v>
      </c>
      <c r="B27" s="45" t="n">
        <f aca="false">B26/B25</f>
        <v>0.5</v>
      </c>
    </row>
    <row r="28" customFormat="false" ht="35.05" hidden="false" customHeight="false" outlineLevel="0" collapsed="false">
      <c r="A28" s="4" t="s">
        <v>522</v>
      </c>
      <c r="B28" s="52" t="n">
        <f aca="false">MIN(12,IF(B7="Salaried",4,IF(B7="Self-employed / business owner",8,IF(B7="Freelancer / professional",8,IF(B7="Student",3,IF(B7="Retired",6,6)))))+B10)</f>
        <v>5</v>
      </c>
    </row>
    <row r="29" customFormat="false" ht="23.85" hidden="false" customHeight="false" outlineLevel="0" collapsed="false">
      <c r="A29" s="4" t="s">
        <v>523</v>
      </c>
      <c r="B29" s="25" t="n">
        <f aca="false">B28*B9</f>
        <v>250000</v>
      </c>
    </row>
    <row r="30" customFormat="false" ht="23.85" hidden="false" customHeight="false" outlineLevel="0" collapsed="false">
      <c r="A30" s="43" t="s">
        <v>524</v>
      </c>
      <c r="B30" s="53" t="n">
        <f aca="false">MAX(0,B29-B16)</f>
        <v>50000</v>
      </c>
    </row>
    <row r="31" customFormat="false" ht="23.85" hidden="false" customHeight="false" outlineLevel="0" collapsed="false">
      <c r="A31" s="4" t="s">
        <v>525</v>
      </c>
      <c r="B31" s="45" t="n">
        <f aca="false">MIN(1,B16/B29)</f>
        <v>0.8</v>
      </c>
    </row>
    <row r="33" customFormat="false" ht="19.5" hidden="false" customHeight="true" outlineLevel="0" collapsed="false">
      <c r="A33" s="15" t="s">
        <v>526</v>
      </c>
      <c r="B33" s="15"/>
      <c r="C33" s="15"/>
      <c r="D33" s="15"/>
      <c r="E33" s="15"/>
      <c r="F33" s="15"/>
    </row>
    <row r="34" customFormat="false" ht="30" hidden="false" customHeight="true" outlineLevel="0" collapsed="false">
      <c r="A34" s="3" t="s">
        <v>527</v>
      </c>
      <c r="B34" s="3" t="s">
        <v>528</v>
      </c>
      <c r="C34" s="3" t="s">
        <v>529</v>
      </c>
      <c r="D34" s="3" t="s">
        <v>530</v>
      </c>
      <c r="E34" s="3" t="s">
        <v>531</v>
      </c>
    </row>
    <row r="35" customFormat="false" ht="15" hidden="false" customHeight="false" outlineLevel="0" collapsed="false">
      <c r="A35" s="17" t="s">
        <v>532</v>
      </c>
      <c r="B35" s="52" t="n">
        <f aca="false">B20</f>
        <v>6</v>
      </c>
      <c r="C35" s="25" t="n">
        <f aca="false">B21</f>
        <v>1500000</v>
      </c>
      <c r="D35" s="35" t="n">
        <f aca="false">'2. Assumptions'!B13</f>
        <v>0.06</v>
      </c>
      <c r="E35" s="53" t="n">
        <f aca="false">C35*(1+D35)^B35</f>
        <v>2127778.668384</v>
      </c>
    </row>
    <row r="36" customFormat="false" ht="15" hidden="false" customHeight="false" outlineLevel="0" collapsed="false">
      <c r="A36" s="17" t="s">
        <v>533</v>
      </c>
      <c r="B36" s="52" t="n">
        <f aca="false">B19-B6</f>
        <v>33</v>
      </c>
      <c r="C36" s="25" t="n">
        <f aca="false">B9*12*'2. Assumptions'!B39</f>
        <v>15000000</v>
      </c>
      <c r="D36" s="35" t="n">
        <f aca="false">'2. Assumptions'!B13</f>
        <v>0.06</v>
      </c>
      <c r="E36" s="53" t="n">
        <f aca="false">C36*(1+D36)^B36</f>
        <v>102608848.241977</v>
      </c>
    </row>
    <row r="37" customFormat="false" ht="15" hidden="false" customHeight="false" outlineLevel="0" collapsed="false">
      <c r="A37" s="32" t="s">
        <v>534</v>
      </c>
      <c r="B37" s="32"/>
      <c r="C37" s="32"/>
      <c r="D37" s="32"/>
      <c r="E37" s="32"/>
    </row>
    <row r="39" customFormat="false" ht="19.5" hidden="false" customHeight="true" outlineLevel="0" collapsed="false">
      <c r="A39" s="15" t="s">
        <v>8</v>
      </c>
      <c r="B39" s="15"/>
      <c r="C39" s="15"/>
      <c r="D39" s="15"/>
      <c r="E39" s="15"/>
      <c r="F39" s="15"/>
    </row>
    <row r="40" customFormat="false" ht="23.85" hidden="false" customHeight="false" outlineLevel="0" collapsed="false">
      <c r="A40" s="4" t="s">
        <v>535</v>
      </c>
      <c r="B40" s="52" t="n">
        <f aca="false">IF(B12="High",9,IF(B12="Moderate",6,3))</f>
        <v>9</v>
      </c>
    </row>
    <row r="41" customFormat="false" ht="15" hidden="false" customHeight="false" outlineLevel="0" collapsed="false">
      <c r="A41" s="4" t="s">
        <v>536</v>
      </c>
      <c r="B41" s="54" t="n">
        <f aca="false">AVERAGE(B13,B14,B15)</f>
        <v>10</v>
      </c>
    </row>
    <row r="42" customFormat="false" ht="23.85" hidden="false" customHeight="false" outlineLevel="0" collapsed="false">
      <c r="A42" s="39" t="s">
        <v>537</v>
      </c>
      <c r="B42" s="42" t="n">
        <f aca="false">0.4*B40+0.6*B41</f>
        <v>9.6</v>
      </c>
    </row>
    <row r="44" customFormat="false" ht="19.5" hidden="false" customHeight="true" outlineLevel="0" collapsed="false">
      <c r="A44" s="15" t="s">
        <v>14</v>
      </c>
      <c r="B44" s="15"/>
      <c r="C44" s="15"/>
      <c r="D44" s="15"/>
      <c r="E44" s="15"/>
      <c r="F44" s="15"/>
    </row>
    <row r="45" customFormat="false" ht="15" hidden="false" customHeight="false" outlineLevel="0" collapsed="false">
      <c r="A45" s="4" t="s">
        <v>538</v>
      </c>
      <c r="B45" s="52" t="n">
        <f aca="false">IF(B6&lt;=30,9,IF(B6&lt;=40,7,IF(B6&lt;=50,5,IF(B6&lt;=60,3,2))))</f>
        <v>9</v>
      </c>
    </row>
    <row r="46" customFormat="false" ht="15" hidden="false" customHeight="false" outlineLevel="0" collapsed="false">
      <c r="A46" s="4" t="s">
        <v>539</v>
      </c>
      <c r="B46" s="52" t="n">
        <f aca="false">IF(B10=0,9,IF(B10=1,7,IF(B10=2,5,3)))</f>
        <v>7</v>
      </c>
    </row>
    <row r="47" customFormat="false" ht="15" hidden="false" customHeight="false" outlineLevel="0" collapsed="false">
      <c r="A47" s="4" t="s">
        <v>540</v>
      </c>
      <c r="B47" s="54" t="n">
        <f aca="false">(C35*B35+C36*B36)/(C35+C36)</f>
        <v>30.5454545454545</v>
      </c>
    </row>
    <row r="48" customFormat="false" ht="23.85" hidden="false" customHeight="false" outlineLevel="0" collapsed="false">
      <c r="A48" s="4" t="s">
        <v>541</v>
      </c>
      <c r="B48" s="54" t="n">
        <f aca="false">MIN(10,MAX(1,1+0.6*B47))</f>
        <v>10</v>
      </c>
    </row>
    <row r="49" customFormat="false" ht="15" hidden="false" customHeight="false" outlineLevel="0" collapsed="false">
      <c r="A49" s="4" t="s">
        <v>542</v>
      </c>
      <c r="B49" s="54" t="n">
        <f aca="false">2+7*B31</f>
        <v>7.6</v>
      </c>
    </row>
    <row r="50" customFormat="false" ht="23.85" hidden="false" customHeight="false" outlineLevel="0" collapsed="false">
      <c r="A50" s="4" t="s">
        <v>543</v>
      </c>
      <c r="B50" s="55" t="b">
        <f aca="false">B11/B25&gt;'2. Assumptions'!B35</f>
        <v>0</v>
      </c>
    </row>
    <row r="51" customFormat="false" ht="35.05" hidden="false" customHeight="false" outlineLevel="0" collapsed="false">
      <c r="A51" s="4" t="s">
        <v>544</v>
      </c>
      <c r="B51" s="52" t="n">
        <f aca="false">MAX(1,IF(B7="Salaried",7,IF(B7="Self-employed / business owner",5,IF(B7="Freelancer / professional",4,IF(B7="Student",5,IF(B7="Retired",3,5)))))-IF(B50,2,0))</f>
        <v>7</v>
      </c>
    </row>
    <row r="52" customFormat="false" ht="35.05" hidden="false" customHeight="false" outlineLevel="0" collapsed="false">
      <c r="A52" s="39" t="s">
        <v>545</v>
      </c>
      <c r="B52" s="42" t="n">
        <f aca="false">AVERAGE(B45,B46,B48,B49,B51)</f>
        <v>8.12</v>
      </c>
    </row>
    <row r="54" customFormat="false" ht="19.5" hidden="false" customHeight="true" outlineLevel="0" collapsed="false">
      <c r="A54" s="15" t="s">
        <v>26</v>
      </c>
      <c r="B54" s="15"/>
      <c r="C54" s="15"/>
      <c r="D54" s="15"/>
      <c r="E54" s="15"/>
      <c r="F54" s="15"/>
    </row>
    <row r="55" customFormat="false" ht="23.85" hidden="false" customHeight="false" outlineLevel="0" collapsed="false">
      <c r="A55" s="39" t="s">
        <v>546</v>
      </c>
      <c r="B55" s="42" t="n">
        <f aca="false">MIN(10,MAX(1,MIN(B42,B52)))</f>
        <v>8.12</v>
      </c>
    </row>
    <row r="56" customFormat="false" ht="15" hidden="false" customHeight="false" outlineLevel="0" collapsed="false">
      <c r="A56" s="39" t="s">
        <v>547</v>
      </c>
      <c r="B56" s="56" t="str">
        <f aca="false">IF(B55&lt;4,"Conservative",IF(B55&gt;=7,"Aggressive","Moderate"))</f>
        <v>Aggressive</v>
      </c>
    </row>
    <row r="58" customFormat="false" ht="19.5" hidden="false" customHeight="true" outlineLevel="0" collapsed="false">
      <c r="A58" s="15" t="s">
        <v>548</v>
      </c>
      <c r="B58" s="15"/>
      <c r="C58" s="15"/>
      <c r="D58" s="15"/>
      <c r="E58" s="15"/>
      <c r="F58" s="15"/>
    </row>
    <row r="59" customFormat="false" ht="23.85" hidden="false" customHeight="false" outlineLevel="0" collapsed="false">
      <c r="A59" s="4" t="s">
        <v>549</v>
      </c>
      <c r="B59" s="30" t="str">
        <f aca="false">IF(B35&lt;=1,"Capital protection (100% Liquid)",IF(B35&lt;=3,"Short (≤3 yrs)",IF(B35&lt;=7,"Medium (3–7 yrs)","Long (&gt;7 yrs)")))</f>
        <v>Medium (3–7 yrs)</v>
      </c>
      <c r="C59" s="30"/>
    </row>
    <row r="60" customFormat="false" ht="15" hidden="false" customHeight="false" outlineLevel="0" collapsed="false">
      <c r="A60" s="21" t="s">
        <v>550</v>
      </c>
      <c r="B60" s="57" t="str">
        <f aca="false">IF(B35&lt;=3,"Short (≤3 yrs)",IF(B35&lt;=7,"Medium (3–7 yrs)","Long (&gt;7 yrs)"))&amp;"|"&amp;B56</f>
        <v>Medium (3–7 yrs)|Aggressive</v>
      </c>
      <c r="C60" s="57"/>
    </row>
    <row r="61" customFormat="false" ht="30" hidden="false" customHeight="true" outlineLevel="0" collapsed="false">
      <c r="A61" s="3" t="s">
        <v>298</v>
      </c>
      <c r="B61" s="3" t="s">
        <v>551</v>
      </c>
      <c r="C61" s="3" t="s">
        <v>552</v>
      </c>
      <c r="D61" s="3" t="s">
        <v>553</v>
      </c>
    </row>
    <row r="62" customFormat="false" ht="15" hidden="false" customHeight="false" outlineLevel="0" collapsed="false">
      <c r="A62" s="4" t="s">
        <v>232</v>
      </c>
      <c r="B62" s="45" t="n">
        <f aca="false">IF(B35&lt;=1,1,INDEX('6. Portfolio Construction'!C6:C14,MATCH(B60,'6. Portfolio Construction'!I6:I14,0)))</f>
        <v>0</v>
      </c>
      <c r="C62" s="35" t="n">
        <f aca="false">'2. Assumptions'!B5</f>
        <v>0.06</v>
      </c>
      <c r="D62" s="35" t="n">
        <f aca="false">'2. Assumptions'!B20</f>
        <v>0.01</v>
      </c>
    </row>
    <row r="63" customFormat="false" ht="15" hidden="false" customHeight="false" outlineLevel="0" collapsed="false">
      <c r="A63" s="5" t="s">
        <v>233</v>
      </c>
      <c r="B63" s="46" t="n">
        <f aca="false">IF(B35&lt;=1,0,INDEX('6. Portfolio Construction'!D6:D14,MATCH(B60,'6. Portfolio Construction'!I6:I14,0)))</f>
        <v>0.2</v>
      </c>
      <c r="C63" s="36" t="n">
        <f aca="false">'2. Assumptions'!B6</f>
        <v>0.07</v>
      </c>
      <c r="D63" s="36" t="n">
        <f aca="false">'2. Assumptions'!B21</f>
        <v>0.03</v>
      </c>
    </row>
    <row r="64" customFormat="false" ht="15" hidden="false" customHeight="false" outlineLevel="0" collapsed="false">
      <c r="A64" s="4" t="s">
        <v>234</v>
      </c>
      <c r="B64" s="45" t="n">
        <f aca="false">IF(B35&lt;=1,0,INDEX('6. Portfolio Construction'!E6:E14,MATCH(B60,'6. Portfolio Construction'!I6:I14,0)))</f>
        <v>0.1</v>
      </c>
      <c r="C64" s="35" t="n">
        <f aca="false">'2. Assumptions'!B7</f>
        <v>0.08</v>
      </c>
      <c r="D64" s="35" t="n">
        <f aca="false">'2. Assumptions'!B22</f>
        <v>0.14</v>
      </c>
    </row>
    <row r="65" customFormat="false" ht="15" hidden="false" customHeight="false" outlineLevel="0" collapsed="false">
      <c r="A65" s="5" t="s">
        <v>235</v>
      </c>
      <c r="B65" s="46" t="n">
        <f aca="false">IF(B35&lt;=1,0,INDEX('6. Portfolio Construction'!F6:F14,MATCH(B60,'6. Portfolio Construction'!I6:I14,0)))</f>
        <v>0.45</v>
      </c>
      <c r="C65" s="36" t="n">
        <f aca="false">'2. Assumptions'!B8</f>
        <v>0.12</v>
      </c>
      <c r="D65" s="36" t="n">
        <f aca="false">'2. Assumptions'!B23</f>
        <v>0.17</v>
      </c>
    </row>
    <row r="66" customFormat="false" ht="15" hidden="false" customHeight="false" outlineLevel="0" collapsed="false">
      <c r="A66" s="4" t="s">
        <v>236</v>
      </c>
      <c r="B66" s="45" t="n">
        <f aca="false">IF(B35&lt;=1,0,INDEX('6. Portfolio Construction'!G6:G14,MATCH(B60,'6. Portfolio Construction'!I6:I14,0)))</f>
        <v>0.25</v>
      </c>
      <c r="C66" s="35" t="n">
        <f aca="false">'2. Assumptions'!B9</f>
        <v>0.14</v>
      </c>
      <c r="D66" s="35" t="n">
        <f aca="false">'2. Assumptions'!B24</f>
        <v>0.22</v>
      </c>
    </row>
    <row r="68" customFormat="false" ht="30" hidden="false" customHeight="true" outlineLevel="0" collapsed="false">
      <c r="A68" s="3"/>
      <c r="B68" s="3" t="s">
        <v>232</v>
      </c>
      <c r="C68" s="3" t="s">
        <v>233</v>
      </c>
      <c r="D68" s="3" t="s">
        <v>234</v>
      </c>
      <c r="E68" s="3" t="s">
        <v>235</v>
      </c>
      <c r="F68" s="3" t="s">
        <v>236</v>
      </c>
    </row>
    <row r="69" customFormat="false" ht="15" hidden="false" customHeight="false" outlineLevel="0" collapsed="false">
      <c r="A69" s="17" t="s">
        <v>232</v>
      </c>
      <c r="B69" s="37" t="n">
        <f aca="false">$D$62*$D$62*'2. Assumptions'!B50</f>
        <v>0.0001</v>
      </c>
      <c r="C69" s="37" t="n">
        <f aca="false">$D$62*$D$63*'2. Assumptions'!C50</f>
        <v>0.00015</v>
      </c>
      <c r="D69" s="37" t="n">
        <f aca="false">$D$62*$D$64*'2. Assumptions'!D50</f>
        <v>0</v>
      </c>
      <c r="E69" s="37" t="n">
        <f aca="false">$D$62*$D$65*'2. Assumptions'!E50</f>
        <v>0</v>
      </c>
      <c r="F69" s="37" t="n">
        <f aca="false">$D$62*$D$66*'2. Assumptions'!F50</f>
        <v>0</v>
      </c>
    </row>
    <row r="70" customFormat="false" ht="15" hidden="false" customHeight="false" outlineLevel="0" collapsed="false">
      <c r="A70" s="19" t="s">
        <v>233</v>
      </c>
      <c r="B70" s="38" t="n">
        <f aca="false">$D$63*$D$62*'2. Assumptions'!B51</f>
        <v>0.00015</v>
      </c>
      <c r="C70" s="38" t="n">
        <f aca="false">$D$63*$D$63*'2. Assumptions'!C51</f>
        <v>0.0009</v>
      </c>
      <c r="D70" s="38" t="n">
        <f aca="false">$D$63*$D$64*'2. Assumptions'!D51</f>
        <v>0.00042</v>
      </c>
      <c r="E70" s="38" t="n">
        <f aca="false">$D$63*$D$65*'2. Assumptions'!E51</f>
        <v>0.00051</v>
      </c>
      <c r="F70" s="38" t="n">
        <f aca="false">$D$63*$D$66*'2. Assumptions'!F51</f>
        <v>0.00033</v>
      </c>
    </row>
    <row r="71" customFormat="false" ht="15" hidden="false" customHeight="false" outlineLevel="0" collapsed="false">
      <c r="A71" s="17" t="s">
        <v>234</v>
      </c>
      <c r="B71" s="37" t="n">
        <f aca="false">$D$64*$D$62*'2. Assumptions'!B52</f>
        <v>0</v>
      </c>
      <c r="C71" s="37" t="n">
        <f aca="false">$D$64*$D$63*'2. Assumptions'!C52</f>
        <v>0.00042</v>
      </c>
      <c r="D71" s="37" t="n">
        <f aca="false">$D$64*$D$64*'2. Assumptions'!D52</f>
        <v>0.0196</v>
      </c>
      <c r="E71" s="37" t="n">
        <f aca="false">$D$64*$D$65*'2. Assumptions'!E52</f>
        <v>0.00119</v>
      </c>
      <c r="F71" s="37" t="n">
        <f aca="false">$D$64*$D$66*'2. Assumptions'!F52</f>
        <v>0.00154</v>
      </c>
    </row>
    <row r="72" customFormat="false" ht="15" hidden="false" customHeight="false" outlineLevel="0" collapsed="false">
      <c r="A72" s="19" t="s">
        <v>235</v>
      </c>
      <c r="B72" s="38" t="n">
        <f aca="false">$D$65*$D$62*'2. Assumptions'!B53</f>
        <v>0</v>
      </c>
      <c r="C72" s="38" t="n">
        <f aca="false">$D$65*$D$63*'2. Assumptions'!C53</f>
        <v>0.00051</v>
      </c>
      <c r="D72" s="38" t="n">
        <f aca="false">$D$65*$D$64*'2. Assumptions'!D53</f>
        <v>0.00119</v>
      </c>
      <c r="E72" s="38" t="n">
        <f aca="false">$D$65*$D$65*'2. Assumptions'!E53</f>
        <v>0.0289</v>
      </c>
      <c r="F72" s="38" t="n">
        <f aca="false">$D$65*$D$66*'2. Assumptions'!F53</f>
        <v>0.03179</v>
      </c>
    </row>
    <row r="73" customFormat="false" ht="15" hidden="false" customHeight="false" outlineLevel="0" collapsed="false">
      <c r="A73" s="17" t="s">
        <v>236</v>
      </c>
      <c r="B73" s="37" t="n">
        <f aca="false">$D$66*$D$62*'2. Assumptions'!B54</f>
        <v>0</v>
      </c>
      <c r="C73" s="37" t="n">
        <f aca="false">$D$66*$D$63*'2. Assumptions'!C54</f>
        <v>0.00033</v>
      </c>
      <c r="D73" s="37" t="n">
        <f aca="false">$D$66*$D$64*'2. Assumptions'!D54</f>
        <v>0.00154</v>
      </c>
      <c r="E73" s="37" t="n">
        <f aca="false">$D$66*$D$65*'2. Assumptions'!E54</f>
        <v>0.03179</v>
      </c>
      <c r="F73" s="37" t="n">
        <f aca="false">$D$66*$D$66*'2. Assumptions'!F54</f>
        <v>0.0484</v>
      </c>
    </row>
    <row r="75" customFormat="false" ht="15" hidden="false" customHeight="false" outlineLevel="0" collapsed="false">
      <c r="A75" s="17" t="s">
        <v>313</v>
      </c>
      <c r="B75" s="37" t="n">
        <f aca="false">MMULT(MMULT(TRANSPOSE(B62:B66),B69:F73),B62:B66)</f>
        <v>0.0165877</v>
      </c>
    </row>
    <row r="76" customFormat="false" ht="15" hidden="false" customHeight="false" outlineLevel="0" collapsed="false">
      <c r="A76" s="39" t="s">
        <v>314</v>
      </c>
      <c r="B76" s="40" t="n">
        <f aca="false">SQRT(B75)</f>
        <v>0.128793245164488</v>
      </c>
    </row>
    <row r="77" customFormat="false" ht="23.85" hidden="false" customHeight="false" outlineLevel="0" collapsed="false">
      <c r="A77" s="39" t="s">
        <v>554</v>
      </c>
      <c r="B77" s="40" t="n">
        <f aca="false">SUMPRODUCT(B62:B66,C62:C66)</f>
        <v>0.111</v>
      </c>
    </row>
    <row r="78" customFormat="false" ht="15" hidden="false" customHeight="false" outlineLevel="0" collapsed="false">
      <c r="A78" s="39" t="s">
        <v>44</v>
      </c>
      <c r="B78" s="42" t="n">
        <f aca="false">(B77-'2. Assumptions'!B12)/B76</f>
        <v>0.35716158825916</v>
      </c>
    </row>
    <row r="80" customFormat="false" ht="23.85" hidden="false" customHeight="false" outlineLevel="0" collapsed="false">
      <c r="A80" s="4" t="s">
        <v>555</v>
      </c>
      <c r="B80" s="27" t="n">
        <f aca="false">B77-0.5*B76^2-'2. Assumptions'!B38</f>
        <v>0.09270615</v>
      </c>
    </row>
    <row r="81" customFormat="false" ht="15" hidden="false" customHeight="false" outlineLevel="0" collapsed="false">
      <c r="A81" s="4" t="s">
        <v>556</v>
      </c>
      <c r="B81" s="52" t="n">
        <f aca="false">ROUND(B35*12,0)</f>
        <v>72</v>
      </c>
    </row>
    <row r="82" customFormat="false" ht="23.85" hidden="false" customHeight="false" outlineLevel="0" collapsed="false">
      <c r="A82" s="4" t="s">
        <v>557</v>
      </c>
      <c r="B82" s="27" t="n">
        <f aca="false">(1+B80)^(1/12)-1</f>
        <v>0.00741546991151187</v>
      </c>
    </row>
    <row r="83" customFormat="false" ht="23.85" hidden="false" customHeight="false" outlineLevel="0" collapsed="false">
      <c r="A83" s="39" t="s">
        <v>558</v>
      </c>
      <c r="B83" s="53" t="n">
        <f aca="false">E35*B82/((1+B82)^B81-1)</f>
        <v>22468.8423308418</v>
      </c>
    </row>
    <row r="85" customFormat="false" ht="19.5" hidden="false" customHeight="true" outlineLevel="0" collapsed="false">
      <c r="A85" s="15" t="s">
        <v>559</v>
      </c>
      <c r="B85" s="15"/>
      <c r="C85" s="15"/>
      <c r="D85" s="15"/>
      <c r="E85" s="15"/>
      <c r="F85" s="15"/>
    </row>
    <row r="86" customFormat="false" ht="23.85" hidden="false" customHeight="false" outlineLevel="0" collapsed="false">
      <c r="A86" s="4" t="s">
        <v>549</v>
      </c>
      <c r="B86" s="30" t="str">
        <f aca="false">IF(B36&lt;=1,"Capital protection (100% Liquid)",IF(B36&lt;=3,"Short (≤3 yrs)",IF(B36&lt;=7,"Medium (3–7 yrs)","Long (&gt;7 yrs)")))</f>
        <v>Long (&gt;7 yrs)</v>
      </c>
      <c r="C86" s="30"/>
    </row>
    <row r="87" customFormat="false" ht="15" hidden="false" customHeight="false" outlineLevel="0" collapsed="false">
      <c r="A87" s="21" t="s">
        <v>550</v>
      </c>
      <c r="B87" s="57" t="str">
        <f aca="false">IF(B36&lt;=3,"Short (≤3 yrs)",IF(B36&lt;=7,"Medium (3–7 yrs)","Long (&gt;7 yrs)"))&amp;"|"&amp;B56</f>
        <v>Long (&gt;7 yrs)|Aggressive</v>
      </c>
      <c r="C87" s="57"/>
    </row>
    <row r="88" customFormat="false" ht="30" hidden="false" customHeight="true" outlineLevel="0" collapsed="false">
      <c r="A88" s="3" t="s">
        <v>298</v>
      </c>
      <c r="B88" s="3" t="s">
        <v>551</v>
      </c>
      <c r="C88" s="3" t="s">
        <v>552</v>
      </c>
      <c r="D88" s="3" t="s">
        <v>553</v>
      </c>
    </row>
    <row r="89" customFormat="false" ht="15" hidden="false" customHeight="false" outlineLevel="0" collapsed="false">
      <c r="A89" s="4" t="s">
        <v>232</v>
      </c>
      <c r="B89" s="45" t="n">
        <f aca="false">IF(B36&lt;=1,1,INDEX('6. Portfolio Construction'!C6:C14,MATCH(B87,'6. Portfolio Construction'!I6:I14,0)))</f>
        <v>0</v>
      </c>
      <c r="C89" s="35" t="n">
        <f aca="false">'2. Assumptions'!B5</f>
        <v>0.06</v>
      </c>
      <c r="D89" s="35" t="n">
        <f aca="false">'2. Assumptions'!B20</f>
        <v>0.01</v>
      </c>
    </row>
    <row r="90" customFormat="false" ht="15" hidden="false" customHeight="false" outlineLevel="0" collapsed="false">
      <c r="A90" s="5" t="s">
        <v>233</v>
      </c>
      <c r="B90" s="46" t="n">
        <f aca="false">IF(B36&lt;=1,0,INDEX('6. Portfolio Construction'!D6:D14,MATCH(B87,'6. Portfolio Construction'!I6:I14,0)))</f>
        <v>0.05</v>
      </c>
      <c r="C90" s="36" t="n">
        <f aca="false">'2. Assumptions'!B6</f>
        <v>0.07</v>
      </c>
      <c r="D90" s="36" t="n">
        <f aca="false">'2. Assumptions'!B21</f>
        <v>0.03</v>
      </c>
    </row>
    <row r="91" customFormat="false" ht="15" hidden="false" customHeight="false" outlineLevel="0" collapsed="false">
      <c r="A91" s="4" t="s">
        <v>234</v>
      </c>
      <c r="B91" s="45" t="n">
        <f aca="false">IF(B36&lt;=1,0,INDEX('6. Portfolio Construction'!E6:E14,MATCH(B87,'6. Portfolio Construction'!I6:I14,0)))</f>
        <v>0.05</v>
      </c>
      <c r="C91" s="35" t="n">
        <f aca="false">'2. Assumptions'!B7</f>
        <v>0.08</v>
      </c>
      <c r="D91" s="35" t="n">
        <f aca="false">'2. Assumptions'!B22</f>
        <v>0.14</v>
      </c>
    </row>
    <row r="92" customFormat="false" ht="15" hidden="false" customHeight="false" outlineLevel="0" collapsed="false">
      <c r="A92" s="5" t="s">
        <v>235</v>
      </c>
      <c r="B92" s="46" t="n">
        <f aca="false">IF(B36&lt;=1,0,INDEX('6. Portfolio Construction'!F6:F14,MATCH(B87,'6. Portfolio Construction'!I6:I14,0)))</f>
        <v>0.5</v>
      </c>
      <c r="C92" s="36" t="n">
        <f aca="false">'2. Assumptions'!B8</f>
        <v>0.12</v>
      </c>
      <c r="D92" s="36" t="n">
        <f aca="false">'2. Assumptions'!B23</f>
        <v>0.17</v>
      </c>
    </row>
    <row r="93" customFormat="false" ht="15" hidden="false" customHeight="false" outlineLevel="0" collapsed="false">
      <c r="A93" s="4" t="s">
        <v>236</v>
      </c>
      <c r="B93" s="45" t="n">
        <f aca="false">IF(B36&lt;=1,0,INDEX('6. Portfolio Construction'!G6:G14,MATCH(B87,'6. Portfolio Construction'!I6:I14,0)))</f>
        <v>0.4</v>
      </c>
      <c r="C93" s="35" t="n">
        <f aca="false">'2. Assumptions'!B9</f>
        <v>0.14</v>
      </c>
      <c r="D93" s="35" t="n">
        <f aca="false">'2. Assumptions'!B24</f>
        <v>0.22</v>
      </c>
    </row>
    <row r="95" customFormat="false" ht="30" hidden="false" customHeight="true" outlineLevel="0" collapsed="false">
      <c r="A95" s="3"/>
      <c r="B95" s="3" t="s">
        <v>232</v>
      </c>
      <c r="C95" s="3" t="s">
        <v>233</v>
      </c>
      <c r="D95" s="3" t="s">
        <v>234</v>
      </c>
      <c r="E95" s="3" t="s">
        <v>235</v>
      </c>
      <c r="F95" s="3" t="s">
        <v>236</v>
      </c>
    </row>
    <row r="96" customFormat="false" ht="15" hidden="false" customHeight="false" outlineLevel="0" collapsed="false">
      <c r="A96" s="17" t="s">
        <v>232</v>
      </c>
      <c r="B96" s="37" t="n">
        <f aca="false">$D$89*$D$89*'2. Assumptions'!B50</f>
        <v>0.0001</v>
      </c>
      <c r="C96" s="37" t="n">
        <f aca="false">$D$89*$D$90*'2. Assumptions'!C50</f>
        <v>0.00015</v>
      </c>
      <c r="D96" s="37" t="n">
        <f aca="false">$D$89*$D$91*'2. Assumptions'!D50</f>
        <v>0</v>
      </c>
      <c r="E96" s="37" t="n">
        <f aca="false">$D$89*$D$92*'2. Assumptions'!E50</f>
        <v>0</v>
      </c>
      <c r="F96" s="37" t="n">
        <f aca="false">$D$89*$D$93*'2. Assumptions'!F50</f>
        <v>0</v>
      </c>
    </row>
    <row r="97" customFormat="false" ht="15" hidden="false" customHeight="false" outlineLevel="0" collapsed="false">
      <c r="A97" s="19" t="s">
        <v>233</v>
      </c>
      <c r="B97" s="38" t="n">
        <f aca="false">$D$90*$D$89*'2. Assumptions'!B51</f>
        <v>0.00015</v>
      </c>
      <c r="C97" s="38" t="n">
        <f aca="false">$D$90*$D$90*'2. Assumptions'!C51</f>
        <v>0.0009</v>
      </c>
      <c r="D97" s="38" t="n">
        <f aca="false">$D$90*$D$91*'2. Assumptions'!D51</f>
        <v>0.00042</v>
      </c>
      <c r="E97" s="38" t="n">
        <f aca="false">$D$90*$D$92*'2. Assumptions'!E51</f>
        <v>0.00051</v>
      </c>
      <c r="F97" s="38" t="n">
        <f aca="false">$D$90*$D$93*'2. Assumptions'!F51</f>
        <v>0.00033</v>
      </c>
    </row>
    <row r="98" customFormat="false" ht="15" hidden="false" customHeight="false" outlineLevel="0" collapsed="false">
      <c r="A98" s="17" t="s">
        <v>234</v>
      </c>
      <c r="B98" s="37" t="n">
        <f aca="false">$D$91*$D$89*'2. Assumptions'!B52</f>
        <v>0</v>
      </c>
      <c r="C98" s="37" t="n">
        <f aca="false">$D$91*$D$90*'2. Assumptions'!C52</f>
        <v>0.00042</v>
      </c>
      <c r="D98" s="37" t="n">
        <f aca="false">$D$91*$D$91*'2. Assumptions'!D52</f>
        <v>0.0196</v>
      </c>
      <c r="E98" s="37" t="n">
        <f aca="false">$D$91*$D$92*'2. Assumptions'!E52</f>
        <v>0.00119</v>
      </c>
      <c r="F98" s="37" t="n">
        <f aca="false">$D$91*$D$93*'2. Assumptions'!F52</f>
        <v>0.00154</v>
      </c>
    </row>
    <row r="99" customFormat="false" ht="15" hidden="false" customHeight="false" outlineLevel="0" collapsed="false">
      <c r="A99" s="19" t="s">
        <v>235</v>
      </c>
      <c r="B99" s="38" t="n">
        <f aca="false">$D$92*$D$89*'2. Assumptions'!B53</f>
        <v>0</v>
      </c>
      <c r="C99" s="38" t="n">
        <f aca="false">$D$92*$D$90*'2. Assumptions'!C53</f>
        <v>0.00051</v>
      </c>
      <c r="D99" s="38" t="n">
        <f aca="false">$D$92*$D$91*'2. Assumptions'!D53</f>
        <v>0.00119</v>
      </c>
      <c r="E99" s="38" t="n">
        <f aca="false">$D$92*$D$92*'2. Assumptions'!E53</f>
        <v>0.0289</v>
      </c>
      <c r="F99" s="38" t="n">
        <f aca="false">$D$92*$D$93*'2. Assumptions'!F53</f>
        <v>0.03179</v>
      </c>
    </row>
    <row r="100" customFormat="false" ht="15" hidden="false" customHeight="false" outlineLevel="0" collapsed="false">
      <c r="A100" s="17" t="s">
        <v>236</v>
      </c>
      <c r="B100" s="37" t="n">
        <f aca="false">$D$93*$D$89*'2. Assumptions'!B54</f>
        <v>0</v>
      </c>
      <c r="C100" s="37" t="n">
        <f aca="false">$D$93*$D$90*'2. Assumptions'!C54</f>
        <v>0.00033</v>
      </c>
      <c r="D100" s="37" t="n">
        <f aca="false">$D$93*$D$91*'2. Assumptions'!D54</f>
        <v>0.00154</v>
      </c>
      <c r="E100" s="37" t="n">
        <f aca="false">$D$93*$D$92*'2. Assumptions'!E54</f>
        <v>0.03179</v>
      </c>
      <c r="F100" s="37" t="n">
        <f aca="false">$D$93*$D$93*'2. Assumptions'!F54</f>
        <v>0.0484</v>
      </c>
    </row>
    <row r="102" customFormat="false" ht="15" hidden="false" customHeight="false" outlineLevel="0" collapsed="false">
      <c r="A102" s="17" t="s">
        <v>313</v>
      </c>
      <c r="B102" s="37" t="n">
        <f aca="false">MMULT(MMULT(TRANSPOSE(B89:B93),B96:F100),B89:B93)</f>
        <v>0.02789815</v>
      </c>
    </row>
    <row r="103" customFormat="false" ht="15" hidden="false" customHeight="false" outlineLevel="0" collapsed="false">
      <c r="A103" s="39" t="s">
        <v>314</v>
      </c>
      <c r="B103" s="40" t="n">
        <f aca="false">SQRT(B102)</f>
        <v>0.167027392962951</v>
      </c>
    </row>
    <row r="104" customFormat="false" ht="23.85" hidden="false" customHeight="false" outlineLevel="0" collapsed="false">
      <c r="A104" s="39" t="s">
        <v>554</v>
      </c>
      <c r="B104" s="40" t="n">
        <f aca="false">SUMPRODUCT(B89:B93,C89:C93)</f>
        <v>0.1235</v>
      </c>
    </row>
    <row r="105" customFormat="false" ht="15" hidden="false" customHeight="false" outlineLevel="0" collapsed="false">
      <c r="A105" s="39" t="s">
        <v>44</v>
      </c>
      <c r="B105" s="42" t="n">
        <f aca="false">(B104-'2. Assumptions'!B12)/B103</f>
        <v>0.350241951109039</v>
      </c>
    </row>
    <row r="107" customFormat="false" ht="23.85" hidden="false" customHeight="false" outlineLevel="0" collapsed="false">
      <c r="A107" s="4" t="s">
        <v>555</v>
      </c>
      <c r="B107" s="27" t="n">
        <f aca="false">B104-0.5*B103^2-'2. Assumptions'!B38</f>
        <v>0.099550925</v>
      </c>
    </row>
    <row r="108" customFormat="false" ht="15" hidden="false" customHeight="false" outlineLevel="0" collapsed="false">
      <c r="A108" s="4" t="s">
        <v>556</v>
      </c>
      <c r="B108" s="52" t="n">
        <f aca="false">ROUND(B36*12,0)</f>
        <v>396</v>
      </c>
    </row>
    <row r="109" customFormat="false" ht="23.85" hidden="false" customHeight="false" outlineLevel="0" collapsed="false">
      <c r="A109" s="4" t="s">
        <v>557</v>
      </c>
      <c r="B109" s="27" t="n">
        <f aca="false">(1+B107)^(1/12)-1</f>
        <v>0.00793984189043795</v>
      </c>
    </row>
    <row r="110" customFormat="false" ht="23.85" hidden="false" customHeight="false" outlineLevel="0" collapsed="false">
      <c r="A110" s="39" t="s">
        <v>558</v>
      </c>
      <c r="B110" s="53" t="n">
        <f aca="false">E36*B109/((1+B109)^B108-1)</f>
        <v>37176.5574778049</v>
      </c>
    </row>
    <row r="112" customFormat="false" ht="19.5" hidden="false" customHeight="true" outlineLevel="0" collapsed="false">
      <c r="A112" s="15" t="s">
        <v>560</v>
      </c>
      <c r="B112" s="15"/>
      <c r="C112" s="15"/>
      <c r="D112" s="15"/>
      <c r="E112" s="15"/>
      <c r="F112" s="15"/>
    </row>
    <row r="113" customFormat="false" ht="30" hidden="false" customHeight="true" outlineLevel="0" collapsed="false">
      <c r="A113" s="3" t="s">
        <v>561</v>
      </c>
      <c r="B113" s="3" t="s">
        <v>562</v>
      </c>
      <c r="C113" s="3" t="s">
        <v>563</v>
      </c>
      <c r="D113" s="3"/>
      <c r="E113" s="3"/>
      <c r="F113" s="3"/>
    </row>
    <row r="114" customFormat="false" ht="15" hidden="false" customHeight="true" outlineLevel="0" collapsed="false">
      <c r="A114" s="4" t="s">
        <v>564</v>
      </c>
      <c r="B114" s="21" t="s">
        <v>565</v>
      </c>
      <c r="C114" s="21"/>
      <c r="D114" s="21"/>
      <c r="E114" s="21"/>
      <c r="F114" s="25" t="n">
        <f aca="false">B17</f>
        <v>25000</v>
      </c>
    </row>
    <row r="115" customFormat="false" ht="15" hidden="false" customHeight="true" outlineLevel="0" collapsed="false">
      <c r="A115" s="4" t="s">
        <v>566</v>
      </c>
      <c r="B115" s="21" t="s">
        <v>567</v>
      </c>
      <c r="C115" s="21"/>
      <c r="D115" s="21"/>
      <c r="E115" s="21"/>
      <c r="F115" s="25" t="n">
        <f aca="false">MIN(B30,F114)</f>
        <v>25000</v>
      </c>
    </row>
    <row r="116" customFormat="false" ht="15" hidden="false" customHeight="false" outlineLevel="0" collapsed="false">
      <c r="A116" s="4" t="s">
        <v>568</v>
      </c>
      <c r="B116" s="58"/>
      <c r="C116" s="58"/>
      <c r="D116" s="58"/>
      <c r="E116" s="58"/>
      <c r="F116" s="53" t="n">
        <f aca="false">F114-F115</f>
        <v>0</v>
      </c>
    </row>
    <row r="117" customFormat="false" ht="23.85" hidden="false" customHeight="true" outlineLevel="0" collapsed="false">
      <c r="A117" s="4" t="s">
        <v>569</v>
      </c>
      <c r="B117" s="21" t="s">
        <v>570</v>
      </c>
      <c r="C117" s="21"/>
      <c r="D117" s="21"/>
      <c r="E117" s="21"/>
      <c r="F117" s="25" t="n">
        <f aca="false">MIN(B110,F116)</f>
        <v>0</v>
      </c>
    </row>
    <row r="118" customFormat="false" ht="15" hidden="false" customHeight="false" outlineLevel="0" collapsed="false">
      <c r="A118" s="4" t="s">
        <v>571</v>
      </c>
      <c r="B118" s="58"/>
      <c r="C118" s="58"/>
      <c r="D118" s="58"/>
      <c r="E118" s="58"/>
      <c r="F118" s="25" t="n">
        <f aca="false">F116-F117</f>
        <v>0</v>
      </c>
    </row>
    <row r="119" customFormat="false" ht="23.85" hidden="false" customHeight="true" outlineLevel="0" collapsed="false">
      <c r="A119" s="4" t="s">
        <v>572</v>
      </c>
      <c r="B119" s="21" t="s">
        <v>570</v>
      </c>
      <c r="C119" s="21"/>
      <c r="D119" s="21"/>
      <c r="E119" s="21"/>
      <c r="F119" s="25" t="n">
        <f aca="false">MIN(B83,F118)</f>
        <v>0</v>
      </c>
    </row>
    <row r="120" customFormat="false" ht="15" hidden="false" customHeight="false" outlineLevel="0" collapsed="false">
      <c r="A120" s="39" t="s">
        <v>573</v>
      </c>
      <c r="B120" s="58"/>
      <c r="C120" s="58"/>
      <c r="D120" s="58"/>
      <c r="E120" s="58"/>
      <c r="F120" s="59" t="n">
        <f aca="false">IFERROR(F119/B83,0)</f>
        <v>0</v>
      </c>
    </row>
    <row r="121" customFormat="false" ht="15" hidden="false" customHeight="false" outlineLevel="0" collapsed="false">
      <c r="A121" s="39" t="s">
        <v>574</v>
      </c>
      <c r="B121" s="58"/>
      <c r="C121" s="58"/>
      <c r="D121" s="58"/>
      <c r="E121" s="58"/>
      <c r="F121" s="59" t="n">
        <f aca="false">IFERROR(F117/B110,0)</f>
        <v>0</v>
      </c>
    </row>
    <row r="122" customFormat="false" ht="15" hidden="false" customHeight="false" outlineLevel="0" collapsed="false">
      <c r="A122" s="32" t="s">
        <v>575</v>
      </c>
      <c r="B122" s="32"/>
      <c r="C122" s="32"/>
      <c r="D122" s="32"/>
      <c r="E122" s="32"/>
      <c r="F122" s="32"/>
    </row>
    <row r="124" customFormat="false" ht="19.5" hidden="false" customHeight="true" outlineLevel="0" collapsed="false">
      <c r="A124" s="15" t="s">
        <v>576</v>
      </c>
      <c r="B124" s="15"/>
      <c r="C124" s="15"/>
      <c r="D124" s="15"/>
      <c r="E124" s="15"/>
      <c r="F124" s="15"/>
    </row>
    <row r="125" customFormat="false" ht="15" hidden="false" customHeight="false" outlineLevel="0" collapsed="false">
      <c r="A125" s="32" t="s">
        <v>577</v>
      </c>
      <c r="B125" s="32"/>
      <c r="C125" s="32"/>
      <c r="D125" s="32"/>
      <c r="E125" s="32"/>
      <c r="F125" s="32"/>
    </row>
    <row r="126" customFormat="false" ht="19.5" hidden="false" customHeight="true" outlineLevel="0" collapsed="false">
      <c r="A126" s="15" t="s">
        <v>578</v>
      </c>
      <c r="B126" s="15"/>
      <c r="C126" s="15"/>
      <c r="D126" s="15"/>
      <c r="E126" s="15"/>
      <c r="F126" s="15"/>
    </row>
    <row r="127" customFormat="false" ht="30" hidden="false" customHeight="true" outlineLevel="0" collapsed="false">
      <c r="A127" s="3" t="s">
        <v>298</v>
      </c>
      <c r="B127" s="3" t="s">
        <v>551</v>
      </c>
      <c r="C127" s="3" t="s">
        <v>552</v>
      </c>
      <c r="D127" s="3" t="s">
        <v>553</v>
      </c>
    </row>
    <row r="128" customFormat="false" ht="15" hidden="false" customHeight="false" outlineLevel="0" collapsed="false">
      <c r="A128" s="4" t="s">
        <v>232</v>
      </c>
      <c r="B128" s="45" t="n">
        <f aca="false">AVERAGE(B62,B89)</f>
        <v>0</v>
      </c>
      <c r="C128" s="35" t="n">
        <f aca="false">'2. Assumptions'!B5</f>
        <v>0.06</v>
      </c>
      <c r="D128" s="35" t="n">
        <f aca="false">'2. Assumptions'!B20</f>
        <v>0.01</v>
      </c>
    </row>
    <row r="129" customFormat="false" ht="15" hidden="false" customHeight="false" outlineLevel="0" collapsed="false">
      <c r="A129" s="5" t="s">
        <v>233</v>
      </c>
      <c r="B129" s="46" t="n">
        <f aca="false">AVERAGE(B63,B90)</f>
        <v>0.125</v>
      </c>
      <c r="C129" s="36" t="n">
        <f aca="false">'2. Assumptions'!B6</f>
        <v>0.07</v>
      </c>
      <c r="D129" s="36" t="n">
        <f aca="false">'2. Assumptions'!B21</f>
        <v>0.03</v>
      </c>
    </row>
    <row r="130" customFormat="false" ht="15" hidden="false" customHeight="false" outlineLevel="0" collapsed="false">
      <c r="A130" s="4" t="s">
        <v>234</v>
      </c>
      <c r="B130" s="45" t="n">
        <f aca="false">AVERAGE(B64,B91)</f>
        <v>0.075</v>
      </c>
      <c r="C130" s="35" t="n">
        <f aca="false">'2. Assumptions'!B7</f>
        <v>0.08</v>
      </c>
      <c r="D130" s="35" t="n">
        <f aca="false">'2. Assumptions'!B22</f>
        <v>0.14</v>
      </c>
    </row>
    <row r="131" customFormat="false" ht="15" hidden="false" customHeight="false" outlineLevel="0" collapsed="false">
      <c r="A131" s="5" t="s">
        <v>235</v>
      </c>
      <c r="B131" s="46" t="n">
        <f aca="false">AVERAGE(B65,B92)</f>
        <v>0.475</v>
      </c>
      <c r="C131" s="36" t="n">
        <f aca="false">'2. Assumptions'!B8</f>
        <v>0.12</v>
      </c>
      <c r="D131" s="36" t="n">
        <f aca="false">'2. Assumptions'!B23</f>
        <v>0.17</v>
      </c>
    </row>
    <row r="132" customFormat="false" ht="15" hidden="false" customHeight="false" outlineLevel="0" collapsed="false">
      <c r="A132" s="4" t="s">
        <v>236</v>
      </c>
      <c r="B132" s="45" t="n">
        <f aca="false">AVERAGE(B66,B93)</f>
        <v>0.325</v>
      </c>
      <c r="C132" s="35" t="n">
        <f aca="false">'2. Assumptions'!B9</f>
        <v>0.14</v>
      </c>
      <c r="D132" s="35" t="n">
        <f aca="false">'2. Assumptions'!B24</f>
        <v>0.22</v>
      </c>
    </row>
    <row r="134" customFormat="false" ht="30" hidden="false" customHeight="true" outlineLevel="0" collapsed="false">
      <c r="A134" s="3"/>
      <c r="B134" s="3" t="s">
        <v>232</v>
      </c>
      <c r="C134" s="3" t="s">
        <v>233</v>
      </c>
      <c r="D134" s="3" t="s">
        <v>234</v>
      </c>
      <c r="E134" s="3" t="s">
        <v>235</v>
      </c>
      <c r="F134" s="3" t="s">
        <v>236</v>
      </c>
    </row>
    <row r="135" customFormat="false" ht="15" hidden="false" customHeight="false" outlineLevel="0" collapsed="false">
      <c r="A135" s="17" t="s">
        <v>232</v>
      </c>
      <c r="B135" s="37" t="n">
        <f aca="false">$D$128*$D$128*'2. Assumptions'!B50</f>
        <v>0.0001</v>
      </c>
      <c r="C135" s="37" t="n">
        <f aca="false">$D$128*$D$129*'2. Assumptions'!C50</f>
        <v>0.00015</v>
      </c>
      <c r="D135" s="37" t="n">
        <f aca="false">$D$128*$D$130*'2. Assumptions'!D50</f>
        <v>0</v>
      </c>
      <c r="E135" s="37" t="n">
        <f aca="false">$D$128*$D$131*'2. Assumptions'!E50</f>
        <v>0</v>
      </c>
      <c r="F135" s="37" t="n">
        <f aca="false">$D$128*$D$132*'2. Assumptions'!F50</f>
        <v>0</v>
      </c>
    </row>
    <row r="136" customFormat="false" ht="15" hidden="false" customHeight="false" outlineLevel="0" collapsed="false">
      <c r="A136" s="19" t="s">
        <v>233</v>
      </c>
      <c r="B136" s="38" t="n">
        <f aca="false">$D$129*$D$128*'2. Assumptions'!B51</f>
        <v>0.00015</v>
      </c>
      <c r="C136" s="38" t="n">
        <f aca="false">$D$129*$D$129*'2. Assumptions'!C51</f>
        <v>0.0009</v>
      </c>
      <c r="D136" s="38" t="n">
        <f aca="false">$D$129*$D$130*'2. Assumptions'!D51</f>
        <v>0.00042</v>
      </c>
      <c r="E136" s="38" t="n">
        <f aca="false">$D$129*$D$131*'2. Assumptions'!E51</f>
        <v>0.00051</v>
      </c>
      <c r="F136" s="38" t="n">
        <f aca="false">$D$129*$D$132*'2. Assumptions'!F51</f>
        <v>0.00033</v>
      </c>
    </row>
    <row r="137" customFormat="false" ht="15" hidden="false" customHeight="false" outlineLevel="0" collapsed="false">
      <c r="A137" s="17" t="s">
        <v>234</v>
      </c>
      <c r="B137" s="37" t="n">
        <f aca="false">$D$130*$D$128*'2. Assumptions'!B52</f>
        <v>0</v>
      </c>
      <c r="C137" s="37" t="n">
        <f aca="false">$D$130*$D$129*'2. Assumptions'!C52</f>
        <v>0.00042</v>
      </c>
      <c r="D137" s="37" t="n">
        <f aca="false">$D$130*$D$130*'2. Assumptions'!D52</f>
        <v>0.0196</v>
      </c>
      <c r="E137" s="37" t="n">
        <f aca="false">$D$130*$D$131*'2. Assumptions'!E52</f>
        <v>0.00119</v>
      </c>
      <c r="F137" s="37" t="n">
        <f aca="false">$D$130*$D$132*'2. Assumptions'!F52</f>
        <v>0.00154</v>
      </c>
    </row>
    <row r="138" customFormat="false" ht="15" hidden="false" customHeight="false" outlineLevel="0" collapsed="false">
      <c r="A138" s="19" t="s">
        <v>235</v>
      </c>
      <c r="B138" s="38" t="n">
        <f aca="false">$D$131*$D$128*'2. Assumptions'!B53</f>
        <v>0</v>
      </c>
      <c r="C138" s="38" t="n">
        <f aca="false">$D$131*$D$129*'2. Assumptions'!C53</f>
        <v>0.00051</v>
      </c>
      <c r="D138" s="38" t="n">
        <f aca="false">$D$131*$D$130*'2. Assumptions'!D53</f>
        <v>0.00119</v>
      </c>
      <c r="E138" s="38" t="n">
        <f aca="false">$D$131*$D$131*'2. Assumptions'!E53</f>
        <v>0.0289</v>
      </c>
      <c r="F138" s="38" t="n">
        <f aca="false">$D$131*$D$132*'2. Assumptions'!F53</f>
        <v>0.03179</v>
      </c>
    </row>
    <row r="139" customFormat="false" ht="15" hidden="false" customHeight="false" outlineLevel="0" collapsed="false">
      <c r="A139" s="17" t="s">
        <v>236</v>
      </c>
      <c r="B139" s="37" t="n">
        <f aca="false">$D$132*$D$128*'2. Assumptions'!B54</f>
        <v>0</v>
      </c>
      <c r="C139" s="37" t="n">
        <f aca="false">$D$132*$D$129*'2. Assumptions'!C54</f>
        <v>0.00033</v>
      </c>
      <c r="D139" s="37" t="n">
        <f aca="false">$D$132*$D$130*'2. Assumptions'!D54</f>
        <v>0.00154</v>
      </c>
      <c r="E139" s="37" t="n">
        <f aca="false">$D$132*$D$131*'2. Assumptions'!E54</f>
        <v>0.03179</v>
      </c>
      <c r="F139" s="37" t="n">
        <f aca="false">$D$132*$D$132*'2. Assumptions'!F54</f>
        <v>0.0484</v>
      </c>
    </row>
    <row r="141" customFormat="false" ht="15" hidden="false" customHeight="false" outlineLevel="0" collapsed="false">
      <c r="A141" s="17" t="s">
        <v>313</v>
      </c>
      <c r="B141" s="37" t="n">
        <f aca="false">MMULT(MMULT(TRANSPOSE(B128:B132),B135:F139),B128:B132)</f>
        <v>0.0218274</v>
      </c>
    </row>
    <row r="142" customFormat="false" ht="15" hidden="false" customHeight="false" outlineLevel="0" collapsed="false">
      <c r="A142" s="39" t="s">
        <v>314</v>
      </c>
      <c r="B142" s="40" t="n">
        <f aca="false">SQRT(B141)</f>
        <v>0.147740989572969</v>
      </c>
    </row>
    <row r="143" customFormat="false" ht="23.85" hidden="false" customHeight="false" outlineLevel="0" collapsed="false">
      <c r="A143" s="39" t="s">
        <v>554</v>
      </c>
      <c r="B143" s="40" t="n">
        <f aca="false">SUMPRODUCT(B128:B132,C128:C132)</f>
        <v>0.11725</v>
      </c>
    </row>
    <row r="144" customFormat="false" ht="15" hidden="false" customHeight="false" outlineLevel="0" collapsed="false">
      <c r="A144" s="39" t="s">
        <v>44</v>
      </c>
      <c r="B144" s="42" t="n">
        <f aca="false">(B143-'2. Assumptions'!B12)/B142</f>
        <v>0.353659469528556</v>
      </c>
    </row>
    <row r="146" customFormat="false" ht="23.85" hidden="false" customHeight="false" outlineLevel="0" collapsed="false">
      <c r="A146" s="4" t="s">
        <v>579</v>
      </c>
      <c r="B146" s="45" t="n">
        <f aca="false">B143-1.645*B142</f>
        <v>-0.125783927847533</v>
      </c>
    </row>
    <row r="147" customFormat="false" ht="23.85" hidden="false" customHeight="false" outlineLevel="0" collapsed="false">
      <c r="A147" s="4" t="s">
        <v>580</v>
      </c>
      <c r="B147" s="45" t="n">
        <f aca="false">B143-2*B142</f>
        <v>-0.178231979145937</v>
      </c>
    </row>
    <row r="149" customFormat="false" ht="19.5" hidden="false" customHeight="true" outlineLevel="0" collapsed="false">
      <c r="A149" s="15" t="s">
        <v>581</v>
      </c>
      <c r="B149" s="15"/>
      <c r="C149" s="15"/>
      <c r="D149" s="15"/>
      <c r="E149" s="15"/>
      <c r="F149" s="15"/>
    </row>
    <row r="150" customFormat="false" ht="15" hidden="false" customHeight="false" outlineLevel="0" collapsed="false">
      <c r="A150" s="32" t="s">
        <v>582</v>
      </c>
      <c r="B150" s="32"/>
      <c r="C150" s="32"/>
      <c r="D150" s="32"/>
      <c r="E150" s="32"/>
      <c r="F150" s="32"/>
    </row>
    <row r="151" customFormat="false" ht="15" hidden="false" customHeight="false" outlineLevel="0" collapsed="false">
      <c r="A151" s="32" t="s">
        <v>583</v>
      </c>
      <c r="B151" s="32"/>
      <c r="C151" s="32"/>
      <c r="D151" s="32"/>
      <c r="E151" s="32"/>
      <c r="F151" s="32"/>
    </row>
    <row r="152" customFormat="false" ht="30" hidden="false" customHeight="true" outlineLevel="0" collapsed="false">
      <c r="A152" s="3" t="s">
        <v>527</v>
      </c>
      <c r="B152" s="3" t="s">
        <v>584</v>
      </c>
      <c r="C152" s="3" t="s">
        <v>585</v>
      </c>
      <c r="D152" s="3" t="s">
        <v>586</v>
      </c>
      <c r="E152" s="3" t="s">
        <v>587</v>
      </c>
      <c r="F152" s="3" t="s">
        <v>588</v>
      </c>
    </row>
    <row r="153" customFormat="false" ht="15" hidden="false" customHeight="false" outlineLevel="0" collapsed="false">
      <c r="A153" s="39" t="s">
        <v>532</v>
      </c>
      <c r="B153" s="53" t="n">
        <f aca="false">B83</f>
        <v>22468.8423308418</v>
      </c>
      <c r="C153" s="53" t="n">
        <v>1745307</v>
      </c>
      <c r="D153" s="53" t="n">
        <v>2241614</v>
      </c>
      <c r="E153" s="53" t="n">
        <v>2914408</v>
      </c>
      <c r="F153" s="59" t="n">
        <v>0.5925</v>
      </c>
    </row>
    <row r="154" customFormat="false" ht="15" hidden="false" customHeight="false" outlineLevel="0" collapsed="false">
      <c r="A154" s="39" t="s">
        <v>533</v>
      </c>
      <c r="B154" s="53" t="n">
        <f aca="false">B110</f>
        <v>37176.5574778049</v>
      </c>
      <c r="C154" s="53" t="n">
        <v>57784306</v>
      </c>
      <c r="D154" s="53" t="n">
        <v>152482409</v>
      </c>
      <c r="E154" s="53" t="n">
        <v>417830966</v>
      </c>
      <c r="F154" s="59" t="n">
        <v>0.6915</v>
      </c>
    </row>
    <row r="156" customFormat="false" ht="15" hidden="false" customHeight="false" outlineLevel="0" collapsed="false">
      <c r="A156" s="32" t="s">
        <v>589</v>
      </c>
      <c r="B156" s="32"/>
      <c r="C156" s="32"/>
      <c r="D156" s="32"/>
      <c r="E156" s="32"/>
      <c r="F156" s="32"/>
    </row>
    <row r="158" customFormat="false" ht="19.5" hidden="false" customHeight="true" outlineLevel="0" collapsed="false">
      <c r="A158" s="15" t="s">
        <v>590</v>
      </c>
      <c r="B158" s="15"/>
      <c r="C158" s="15"/>
      <c r="D158" s="15"/>
      <c r="E158" s="15"/>
      <c r="F158" s="15"/>
    </row>
    <row r="159" customFormat="false" ht="30" hidden="false" customHeight="true" outlineLevel="0" collapsed="false">
      <c r="A159" s="4" t="s">
        <v>591</v>
      </c>
      <c r="B159" s="4"/>
      <c r="C159" s="4"/>
      <c r="D159" s="4"/>
      <c r="E159" s="4"/>
      <c r="F159" s="4"/>
    </row>
    <row r="160" customFormat="false" ht="30" hidden="false" customHeight="true" outlineLevel="0" collapsed="false">
      <c r="A160" s="5" t="s">
        <v>592</v>
      </c>
      <c r="B160" s="5"/>
      <c r="C160" s="5"/>
      <c r="D160" s="5"/>
      <c r="E160" s="5"/>
      <c r="F160" s="5"/>
    </row>
    <row r="161" customFormat="false" ht="30" hidden="false" customHeight="true" outlineLevel="0" collapsed="false">
      <c r="A161" s="4" t="s">
        <v>593</v>
      </c>
      <c r="B161" s="4"/>
      <c r="C161" s="4"/>
      <c r="D161" s="4"/>
      <c r="E161" s="4"/>
      <c r="F161" s="4"/>
    </row>
    <row r="163" customFormat="false" ht="15" hidden="false" customHeight="false" outlineLevel="0" collapsed="false">
      <c r="A163" s="32" t="s">
        <v>594</v>
      </c>
      <c r="B163" s="32"/>
      <c r="C163" s="32"/>
      <c r="D163" s="32"/>
      <c r="E163" s="32"/>
      <c r="F163" s="32"/>
    </row>
  </sheetData>
  <mergeCells count="56">
    <mergeCell ref="A1:F1"/>
    <mergeCell ref="A2:F2"/>
    <mergeCell ref="A4:F4"/>
    <mergeCell ref="C5:F5"/>
    <mergeCell ref="C6:F6"/>
    <mergeCell ref="C7:F7"/>
    <mergeCell ref="C8:F8"/>
    <mergeCell ref="C9:F9"/>
    <mergeCell ref="C10:F10"/>
    <mergeCell ref="C11:F11"/>
    <mergeCell ref="C12:F12"/>
    <mergeCell ref="C13:F13"/>
    <mergeCell ref="C14:F14"/>
    <mergeCell ref="C15:F15"/>
    <mergeCell ref="C16:F16"/>
    <mergeCell ref="C17:F17"/>
    <mergeCell ref="C18:F18"/>
    <mergeCell ref="C19:F19"/>
    <mergeCell ref="C20:F20"/>
    <mergeCell ref="C21:F21"/>
    <mergeCell ref="C22:F22"/>
    <mergeCell ref="A24:F24"/>
    <mergeCell ref="A33:F33"/>
    <mergeCell ref="A37:E37"/>
    <mergeCell ref="A39:F39"/>
    <mergeCell ref="A44:F44"/>
    <mergeCell ref="A54:F54"/>
    <mergeCell ref="A58:F58"/>
    <mergeCell ref="B59:C59"/>
    <mergeCell ref="B60:C60"/>
    <mergeCell ref="A85:F85"/>
    <mergeCell ref="B86:C86"/>
    <mergeCell ref="B87:C87"/>
    <mergeCell ref="A112:F112"/>
    <mergeCell ref="C113:F113"/>
    <mergeCell ref="B114:E114"/>
    <mergeCell ref="B115:E115"/>
    <mergeCell ref="B116:E116"/>
    <mergeCell ref="B117:E117"/>
    <mergeCell ref="B118:E118"/>
    <mergeCell ref="B119:E119"/>
    <mergeCell ref="B120:E120"/>
    <mergeCell ref="B121:E121"/>
    <mergeCell ref="A122:F122"/>
    <mergeCell ref="A124:F124"/>
    <mergeCell ref="A125:F125"/>
    <mergeCell ref="A126:F126"/>
    <mergeCell ref="A149:F149"/>
    <mergeCell ref="A150:F150"/>
    <mergeCell ref="A151:F151"/>
    <mergeCell ref="A156:F156"/>
    <mergeCell ref="A158:F158"/>
    <mergeCell ref="A159:F159"/>
    <mergeCell ref="A160:F160"/>
    <mergeCell ref="A161:F161"/>
    <mergeCell ref="A163:F16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2026-10-04T15:59:30Z</dcterms:created>
  <dc:creator>Priti Mehta (with Claude, Anthropic — see AI_USE_DECLARATION.md)</dc:creator>
  <dc:description>Documents the actual financial methodology, assumptions and formulas used by the submitted application, grounded in its real source code as of 2026-10-04.</dc:description>
  <dc:language>en-US</dc:language>
  <cp:lastModifiedBy/>
  <dcterms:modified xsi:type="dcterms:W3CDTF">2026-10-04T15:59:30Z</dcterms:modified>
  <cp:revision>0</cp:revision>
  <dc:subject>Financial methodology documentation for the Goal-Based Portfolio Planner (Theme 4)</dc:subject>
  <dc:title>Portfolio Planner — Methodology Appendix</dc:title>
</cp:coreProperties>
</file>

<file path=docProps/custom.xml><?xml version="1.0" encoding="utf-8"?>
<Properties xmlns="http://schemas.openxmlformats.org/officeDocument/2006/custom-properties" xmlns:vt="http://schemas.openxmlformats.org/officeDocument/2006/docPropsVTypes"/>
</file>